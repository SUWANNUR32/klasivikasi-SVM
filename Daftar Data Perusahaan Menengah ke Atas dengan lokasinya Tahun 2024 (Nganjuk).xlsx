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Perusahaan" sheetId="1" r:id="rId1"/>
  </sheets>
  <externalReferences>
    <externalReference r:id="rId2"/>
  </externalReferences>
  <definedNames>
    <definedName name="_xlnm.Print_Titles" localSheetId="0">Perusahaan!$1:$1</definedName>
  </definedNames>
  <calcPr calcId="144525"/>
</workbook>
</file>

<file path=xl/calcChain.xml><?xml version="1.0" encoding="utf-8"?>
<calcChain xmlns="http://schemas.openxmlformats.org/spreadsheetml/2006/main">
  <c r="H3" i="1" l="1"/>
  <c r="I3" i="1"/>
  <c r="J3" i="1"/>
  <c r="H4" i="1"/>
  <c r="I4" i="1"/>
  <c r="H5" i="1"/>
  <c r="I5" i="1"/>
  <c r="J5" i="1"/>
  <c r="K5" i="1"/>
  <c r="H6" i="1"/>
  <c r="I6" i="1"/>
  <c r="J6" i="1"/>
  <c r="K6" i="1"/>
  <c r="H7" i="1"/>
  <c r="I7" i="1"/>
  <c r="J7" i="1"/>
  <c r="K7" i="1"/>
  <c r="H8" i="1"/>
  <c r="I8" i="1"/>
  <c r="J8" i="1"/>
  <c r="H9" i="1"/>
  <c r="I9" i="1"/>
  <c r="J9" i="1"/>
  <c r="K9" i="1"/>
  <c r="H10" i="1"/>
  <c r="I10" i="1"/>
  <c r="H11" i="1"/>
  <c r="I11" i="1"/>
  <c r="K11" i="1"/>
  <c r="H12" i="1"/>
  <c r="I12" i="1"/>
  <c r="K12" i="1"/>
  <c r="H13" i="1"/>
  <c r="I13" i="1"/>
  <c r="K13" i="1"/>
  <c r="H14" i="1"/>
  <c r="I14" i="1"/>
  <c r="H15" i="1"/>
  <c r="I15" i="1"/>
  <c r="J15" i="1"/>
  <c r="H16" i="1"/>
  <c r="I16" i="1"/>
  <c r="H17" i="1"/>
  <c r="I17" i="1"/>
  <c r="H18" i="1"/>
  <c r="I18" i="1"/>
  <c r="K18" i="1"/>
  <c r="H19" i="1"/>
  <c r="I19" i="1"/>
  <c r="H20" i="1"/>
  <c r="I20" i="1"/>
  <c r="H21" i="1"/>
  <c r="I21" i="1"/>
  <c r="J21" i="1"/>
  <c r="H22" i="1"/>
  <c r="I22" i="1"/>
  <c r="J22" i="1"/>
  <c r="H23" i="1"/>
  <c r="I23" i="1"/>
  <c r="J23" i="1"/>
  <c r="K23" i="1"/>
  <c r="H24" i="1"/>
  <c r="I24" i="1"/>
  <c r="J24" i="1"/>
  <c r="K24" i="1"/>
  <c r="H25" i="1"/>
  <c r="I25" i="1"/>
  <c r="H26" i="1"/>
  <c r="I26" i="1"/>
  <c r="K26" i="1"/>
  <c r="H27" i="1"/>
  <c r="I27" i="1"/>
  <c r="H28" i="1"/>
  <c r="I28" i="1"/>
  <c r="H29" i="1"/>
  <c r="I29" i="1"/>
  <c r="H30" i="1"/>
  <c r="I30" i="1"/>
  <c r="H31" i="1"/>
  <c r="I31" i="1"/>
  <c r="H32" i="1"/>
  <c r="I32" i="1"/>
  <c r="K32" i="1"/>
  <c r="H33" i="1"/>
  <c r="I33" i="1"/>
  <c r="H34" i="1"/>
  <c r="I34" i="1"/>
  <c r="H35" i="1"/>
  <c r="I35" i="1"/>
  <c r="H36" i="1"/>
  <c r="I36" i="1"/>
  <c r="K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K2" i="1"/>
  <c r="J2" i="1"/>
  <c r="I2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2" i="1"/>
</calcChain>
</file>

<file path=xl/sharedStrings.xml><?xml version="1.0" encoding="utf-8"?>
<sst xmlns="http://schemas.openxmlformats.org/spreadsheetml/2006/main" count="261" uniqueCount="210">
  <si>
    <t>PERUSAHAAN</t>
  </si>
  <si>
    <t>SEKTOR</t>
  </si>
  <si>
    <t>PT. Mahatma Agro, Rejoso</t>
  </si>
  <si>
    <t>PT. Indoprima Gemilang Plant 1</t>
  </si>
  <si>
    <t>PT. Sumber Alfaria Trijaya, Tbk</t>
  </si>
  <si>
    <t>PT. Agro Bumi Timur, Bagor</t>
  </si>
  <si>
    <t>PT. Tirta Sukses Perkasa, Sukomoro</t>
  </si>
  <si>
    <t>PT. Lotus Indah Textile Industries, Sukomoro</t>
  </si>
  <si>
    <t>PT. Langgeng Jaya Makmur, Bagor</t>
  </si>
  <si>
    <t>PT. Cipta Karya Mansurin</t>
  </si>
  <si>
    <t>PR. Mangga Gandeng</t>
  </si>
  <si>
    <t>PT. BRI (Persero), Tbk</t>
  </si>
  <si>
    <t>PT. Eagle Sporting Goods, Bagor</t>
  </si>
  <si>
    <t>PT. Gunawan Fajar, lengkong</t>
  </si>
  <si>
    <t>PT. Kapasari</t>
  </si>
  <si>
    <t>PT. Jaya Kertas</t>
  </si>
  <si>
    <t>CV. Rio Karya Wood</t>
  </si>
  <si>
    <t>CV. Cahaya Gemilang Indah Loceret</t>
  </si>
  <si>
    <t>CV. Borobudur Prima Swalayan</t>
  </si>
  <si>
    <t>PR. Cengkir Gading</t>
  </si>
  <si>
    <t>Perum Perhutani KPH Nganjuk</t>
  </si>
  <si>
    <t>BFI Finance Cbg Nganjuk</t>
  </si>
  <si>
    <t>PT. Bayu Bagus Bakery</t>
  </si>
  <si>
    <t>Hutama Bangunnusa</t>
  </si>
  <si>
    <t xml:space="preserve">PT. Wahana Ottomitra Multiartha Tbk </t>
  </si>
  <si>
    <t>PT. Kerta Rajasa Raya</t>
  </si>
  <si>
    <t>PT. Sukses Abadi Indonesia</t>
  </si>
  <si>
    <t>Toko Mega Elektronik &amp; Handphone</t>
  </si>
  <si>
    <t>PDAM Nganjuk</t>
  </si>
  <si>
    <t xml:space="preserve">KSP Tunas Artha Mandiri </t>
  </si>
  <si>
    <t>PT. Mitra Saruta Indonesia</t>
  </si>
  <si>
    <t>RS Aisyiah</t>
  </si>
  <si>
    <t>PT. Berlian Jaya Perkasa</t>
  </si>
  <si>
    <t>PT. Multi Farmindo Jaya, Lengkong</t>
  </si>
  <si>
    <t>PT. Wonokoyo Jaya Corporindo Hatchery Nganjuk</t>
  </si>
  <si>
    <t xml:space="preserve">PT. Capglobal Industry International </t>
  </si>
  <si>
    <t>PT. Kharisma Baru Indonesia, Bagor</t>
  </si>
  <si>
    <t>Sabda Alam, Kertosono</t>
  </si>
  <si>
    <t>Berkat Anugerahnya</t>
  </si>
  <si>
    <t>PT. Tsamaniya Amanah Mandiri</t>
  </si>
  <si>
    <t>PT. Zhanhui Jaya Indonesia, Bagor</t>
  </si>
  <si>
    <t>PT. Arja Kayu Lapis</t>
  </si>
  <si>
    <t>PT. Sinar Baja Electric Lengkong</t>
  </si>
  <si>
    <t>PT. Sinar Jaya Prima Perkasa</t>
  </si>
  <si>
    <t>PR. Putra Masa Depan</t>
  </si>
  <si>
    <t>CV. Risqi Lumintu Plywood</t>
  </si>
  <si>
    <t>PT. Karya Bintang Mandiri</t>
  </si>
  <si>
    <t>Trijaya Lestari Food</t>
  </si>
  <si>
    <t>Rimba Damai Sejahtera-Borongan</t>
  </si>
  <si>
    <t>PT. Sumber Plast Indo, Tanjunganom</t>
  </si>
  <si>
    <t>PT. Sinergi Gula Nusantara</t>
  </si>
  <si>
    <t>PT. Mitra Mulia Makmur</t>
  </si>
  <si>
    <t>Industri Kabel</t>
  </si>
  <si>
    <t>Perdagangan Pupuk Pertanian</t>
  </si>
  <si>
    <t>Retail</t>
  </si>
  <si>
    <t>Industri Sepatu</t>
  </si>
  <si>
    <t>Industri Minuman Kemasan</t>
  </si>
  <si>
    <t>Industri Benang</t>
  </si>
  <si>
    <t xml:space="preserve"> jasa transportasi dan logistik</t>
  </si>
  <si>
    <t>Jasa Outsourcing</t>
  </si>
  <si>
    <t>Industri Rokok</t>
  </si>
  <si>
    <t>Industri Gula Pasir</t>
  </si>
  <si>
    <t>Perbankan</t>
  </si>
  <si>
    <t>Industri Plastik</t>
  </si>
  <si>
    <t>Industri Tas Golf</t>
  </si>
  <si>
    <t>Industri Karung Jumbo Bag</t>
  </si>
  <si>
    <t>Industri Pembuatan Speaker</t>
  </si>
  <si>
    <t>Industri Percetakan</t>
  </si>
  <si>
    <t>Industri Kertas</t>
  </si>
  <si>
    <t>Industri Kayu Lapis</t>
  </si>
  <si>
    <t>Industri Kayu Sengon</t>
  </si>
  <si>
    <t>Industri Topi</t>
  </si>
  <si>
    <t>Pengelolaan Sumberdaya Hutan</t>
  </si>
  <si>
    <t>Industri Roti</t>
  </si>
  <si>
    <t>Jasa Konstruksi</t>
  </si>
  <si>
    <t>Retail Elektronik</t>
  </si>
  <si>
    <t>Penyedia Air Bersih</t>
  </si>
  <si>
    <t>Industri Sarung Tangan</t>
  </si>
  <si>
    <t>Jasa Pelayanan Kesehatan</t>
  </si>
  <si>
    <t>Jasa Properti</t>
  </si>
  <si>
    <t>Pembibitan dan Budidaya Itik/Bebek</t>
  </si>
  <si>
    <t>Industri Peternakan Ayam</t>
  </si>
  <si>
    <t>Industri KayuLapis</t>
  </si>
  <si>
    <t>Industri Karung</t>
  </si>
  <si>
    <t>Industri rokok</t>
  </si>
  <si>
    <t>Industri Kayu</t>
  </si>
  <si>
    <t>Jasa Pengiriman Barang</t>
  </si>
  <si>
    <t>Pemborongan Ayam</t>
  </si>
  <si>
    <t>Industri Tupperware</t>
  </si>
  <si>
    <t>ALAMAT</t>
  </si>
  <si>
    <t>MAPS</t>
  </si>
  <si>
    <t>DISABILITAS</t>
  </si>
  <si>
    <t>JUMLAH BPJS KETENAGAKERJAAN</t>
  </si>
  <si>
    <t>JUMLAH BPJS KESEHATAN</t>
  </si>
  <si>
    <t>PP/PKB</t>
  </si>
  <si>
    <t>LKS BIPARTIT</t>
  </si>
  <si>
    <t>Jl. Gondang-Lengkong, Sempayang, Jaan, Kec. Gondang, Kab. Nganjuk</t>
  </si>
  <si>
    <t>Sugihan, Mlorah, Kec. Rejoso, Kabupaten Nganjuk, Jawa Timur 64453</t>
  </si>
  <si>
    <t>Jl. Tamanan No 1, Sidokare, Kec. Rejoso, Kabupaten Nganjuk</t>
  </si>
  <si>
    <t>Jl. Panglima Sudirman, Plimping, Gebangkerep, Kec. Baron, Kabupaten Nganjuk</t>
  </si>
  <si>
    <t>Jl. Jenderal Ahmad Yani, RT 001/01, Warujayeng, Kec. Tanjunganom, Kab. Nganjuk</t>
  </si>
  <si>
    <t>Jl. Diponegoro No. 63, Ds. Banarankulon 
Kec. Bagor, Kab. Nganjuk</t>
  </si>
  <si>
    <t>Jl. Guyangan 88, Kerepkidul, Bagor, Nganjuk, Jawa Timur</t>
  </si>
  <si>
    <t>Jl. Panglima Sudirman No.6, Pehserut, Kec. Sukomoro, Kab. Nganjuk</t>
  </si>
  <si>
    <t>Jl. Raya Nganjuk, Kedungsuko, Kertosono, Kec. Sukomoro, Kabupaten Nganjuk</t>
  </si>
  <si>
    <t>Jl. Dipoyono No.14, Guyangan, Kec. Bagor, Kab. Nganjuk</t>
  </si>
  <si>
    <t>Jalan Ahmad Yani ruko Kav 5, Warujayeng, Kec. Tanjunganom, Kab. Nganjuk</t>
  </si>
  <si>
    <t>Jl. Ahmad Yani No.153, Payaman, Kec. Nganjuk, Kabupaten Nganjuk</t>
  </si>
  <si>
    <t>Jalan Raya Lestari, Ngrombot, Patianrowo, Kertosono, Nganjuk</t>
  </si>
  <si>
    <t>Jl. Gatot Subroto No.11, Kauman, Kec. Nganjuk, Kabupaten Nganjuk</t>
  </si>
  <si>
    <t>Area Sawah, Sambirejo, Kec. Tanjunganom, Kabupaten Nganjuk</t>
  </si>
  <si>
    <t>Jl. Panglima Sudirman No.5, Mangundikaran, Mangun Dikaran, Kec. Nganjuk, Kabupaten Nganjuk, Jawa Timur</t>
  </si>
  <si>
    <t>Jl. Wilis, Jarakan, Kramat, Kec. Nganjuk, Kabupaten Nganjuk, Jawa Timur </t>
  </si>
  <si>
    <t>Jl. Yos Sudarso No.82, Nganjuk, Ganung Kidul, Kec. Nganjuk, Kabupaten Nganjuk, Jawa Timur </t>
  </si>
  <si>
    <t> Jl. Semeru, Beran, Tanjungrejo, Kec. Loceret, Kabupaten Nganjuk, Jawa Timur</t>
  </si>
  <si>
    <t>Ds Cerme RT.03 RW.07 Kec. Pace ; Kabupaten, : Kab. Nganjuk</t>
  </si>
  <si>
    <t>l. Raya Mastrip I No. 22 RT. 005 RW. 003 Kel. Ganungkidul Kec. Nganjuk</t>
  </si>
  <si>
    <t>Jl. Imam Bonjol No.20, Payaman, Kec. Nganjuk, Kabupaten Nganjuk</t>
  </si>
  <si>
    <t>Bajulan, Prayungan, Kec. Lengkong, Kabupaten Nganjuk</t>
  </si>
  <si>
    <t>Gampeng, Lumpang Kuwik, Kec. Jatikalen, Kabupaten Nganjuk</t>
  </si>
  <si>
    <t>Jl. Raya Surabaya - Madiun KM.99 Dsn. Klinter, Pelem, Kertosono</t>
  </si>
  <si>
    <t>Jl. Raya Surabaya - Madiun Jl. Raya Plimping, Gebangkerep, Baron, Nganjuk</t>
  </si>
  <si>
    <t>Jl. Lengkong - Jatikalen, Jegreg, Kec. Lengkong, Kabupaten Nganjuk</t>
  </si>
  <si>
    <t>Jl. Warujayeng - Nganjuk, Jegles, Plosoharjo, Kec. Pace, Kabupaten Nganjuk, Jawa Timur</t>
  </si>
  <si>
    <t>Dsn. Ngetrep RT.06 RW.02 Ds.Kurungrejo Kec.Prambon Kab.Nganjuk</t>
  </si>
  <si>
    <t>Nganjuk</t>
  </si>
  <si>
    <t>JL.PANGLIMA SUDIRMAN NO.142 Kabupaten Nganjuk</t>
  </si>
  <si>
    <t>Prayungan, Kec. Lengkong, Kabupaten Nganjuk</t>
  </si>
  <si>
    <t>Jl. Gondang Lengkong, Desa Gondang. Kec. Gondang, Dusun Karangpedat, Depan Kafe, Kebon Jati, Nganjuk Regency, East Java</t>
  </si>
  <si>
    <t>Jl. Ahmad Yani No.62, Payaman, Kec. Nganjuk, Kabupaten Nganjuk, Jawa Timur 64418</t>
  </si>
  <si>
    <t>Jl. Dermojoyo No.65, Payaman, Kec. Nganjuk, Kabupaten Nganjuk, Jawa Timur 64418</t>
  </si>
  <si>
    <t>Jl. Dermojoyo No.34, Payaman, Kec. Nganjuk, Kabupaten Nganjuk, Jawa Timur 64418</t>
  </si>
  <si>
    <t>Jl. Raya Rejoso KM 5.5, Rejoso, Mlorah, Rejoso, Sugihwaras, Mlorah, Kec. Rejoso, Kabupaten Nganjuk, Jawa Timur 64453</t>
  </si>
  <si>
    <t>CV7H+XWX, Guyangan, Kec. Bagor, Kabupaten Nganjuk, Jawa Timur 64461</t>
  </si>
  <si>
    <t>9VH3+XV4, Bulu, Kec. Berbek, Kabupaten Nganjuk, Jawa Timur</t>
  </si>
  <si>
    <t>-</t>
  </si>
  <si>
    <t>Jl. Raya Madiun - Nganjuk, Manyung, Bagor Kulon, Kec. Bagor, Kabupaten Nganjuk, Jawa Timur 64461</t>
  </si>
  <si>
    <t xml:space="preserve">https://www.google.com/maps/place/PT+Capglobal+Industry+International/@-7.5845426,111.8886384,14z/data=!4m10!1m2!2m1!1sPT.+Capglobal+Industry+International++nganjuk!3m6!1s0x2e784b7702be42bd:0xc9f396adf442097b!8m2!3d-7.5845426!4d111.9246873!15sCi1QVC4gQ2FwZ2xvYmFsIEluZHVzdHJ5IEludGVybmF0aW9uYWwgIG5nYW5qdWuSARBjb3Jwb3JhdGVfb2ZmaWNl4AEA!16s%2Fg%2F11rgd56p3f?entry=ttu </t>
  </si>
  <si>
    <t>CW8F+5VM, Jl. Bengawan Solo, Area Sawah/Kebun, Putren, Kec. Sukomoro, Kabupaten Nganjuk, Jawa Timur 64481</t>
  </si>
  <si>
    <t xml:space="preserve">https://www.google.com/maps/place/CV.Borobudur+prima+s./@-7.601088,111.8841155,17z/data=!3m1!4b1!4m6!3m5!1s0x2e784bfab2e3b7e1:0x7455d9c9358505c4!8m2!3d-7.6010933!4d111.8866904!16s%2Fg%2F11rxjpjzhj?entry=ttu </t>
  </si>
  <si>
    <t>Jl. Lurah Surodarmo No.102, Cangkringan, Kec. Nganjuk, Kabupaten Nganjuk, Jawa Timur 64415</t>
  </si>
  <si>
    <t xml:space="preserve">https://www.google.com/maps/place/CV.+CAHAYA+GEMILANG+INDAH/@-7.6536062,111.878613,17z/data=!3m1!4b1!4m6!3m5!1s0x2e784c9585b4c3c7:0x3c4fa55d7497defd!8m2!3d-7.6536115!4d111.8811879!16s%2Fg%2F11ddwyg88j?entry=ttu </t>
  </si>
  <si>
    <t>Jl. May Jend. Supeno No.76, Ngrawan, Kauman, Ngrawan, Kec. Berbek, Kabupaten Nganjuk, Jawa Timur 64471</t>
  </si>
  <si>
    <t xml:space="preserve">https://www.google.com/maps/place/CV.+RIO+KARYA+WOOD/@-7.6757831,112.0277594,17z/data=!3m1!4b1!4m6!3m5!1s0x2e784f9bdb73f55f:0x3328178f2baed70b!8m2!3d-7.6757884!4d112.0303343!16s%2Fg%2F11g8cy7r0r?entry=ttu </t>
  </si>
  <si>
    <t>82FJ+M4P, Bendo, Mojokendil, Kec. Ngronggot, Kabupaten Nganjuk, Jawa Timur 64395</t>
  </si>
  <si>
    <t xml:space="preserve">https://www.google.com/maps/place/PT.+Kertas+Jaya+Jaker/@-7.6047033,112.0832166,17z/data=!3m1!4b1!4m6!3m5!1s0x2e784667a341d847:0x10ea762e634e0663!8m2!3d-7.6047086!4d112.0857915!16s%2Fg%2F11clvq8sk7?entry=ttu </t>
  </si>
  <si>
    <t>93WP+487, Area Persawahan, Kepuh, Kec. Kertosono, Kabupaten Nganjuk, Jawa Timur 64315</t>
  </si>
  <si>
    <t xml:space="preserve">https://www.google.com/maps/place/PT+Kapasari+Printing/@-7.6034696,112.0188912,17z/data=!3m1!4b1!4m6!3m5!1s0x2e7849baa842f217:0x1a12e8d73f0c39d8!8m2!3d-7.6034749!4d112.0214661!16s%2Fg%2F11fsz2wdjq?entry=ttu </t>
  </si>
  <si>
    <t>Jl. Panglima Sudirman, Glotan, Kedungrejo, Kec. Tanjunganom, Kabupaten Nganjuk, Jawa Timur 64482</t>
  </si>
  <si>
    <t xml:space="preserve">https://www.google.com/maps/place/CV+SINAR+BAJA+ELECTRIC+3+(NGANJUK,LENGKONG)/@-7.5307399,112.0792328,17z/data=!3m1!4b1!4m6!3m5!1s0x2e7839a814e47af3:0x5b9d5c62bfe7108c!8m2!3d-7.5307452!4d112.0818077!16s%2Fg%2F11rvcpl7nd?entry=ttu </t>
  </si>
  <si>
    <t>F39J+PP3, Jl. DPU Raya, Lengkor Lor, Lengkong, Kec. Lengkong, Kabupaten Nganjuk, Jawa Timur 64393</t>
  </si>
  <si>
    <t xml:space="preserve">https://www.google.com/maps/place/PT.+Gunawan+Fajar/@-7.5302975,112.0805336,17z/data=!3m1!4b1!4m6!3m5!1s0x2e78386f609850cf:0x9619c2b3aabe412f!8m2!3d-7.5303028!4d112.0831085!16s%2Fg%2F11c1rd88p6?entry=ttu </t>
  </si>
  <si>
    <t>Jegreg, Kec. Lengkong, Kabupaten Nganjuk, Jawa Timur 64393</t>
  </si>
  <si>
    <t xml:space="preserve">https://www.google.com/maps/place/PT.+EAGLE+SPORTING+GOODS/@-7.5825832,111.872668,17z/data=!3m1!4b1!4m6!3m5!1s0x2e784bf5e68e7c97:0x412e65a069d00496!8m2!3d-7.5825885!4d111.8752429!16s%2Fg%2F11j2z660wx?entry=ttu </t>
  </si>
  <si>
    <t>CV8G+X39, Morobau, Kerep Kidul, Kec. Bagor, Kabupaten Nganjuk, Jawa Timur 64461</t>
  </si>
  <si>
    <t xml:space="preserve">https://www.google.com/maps/place/PT.+Mitramulia+Makmur+Nganjuk/@-7.5364991,112.0263457,17z/data=!3m1!4b1!4m6!3m5!1s0x2e7837484304c397:0x7c824ad8f52d2de8!8m2!3d-7.5365044!4d112.0289206!16s%2Fg%2F11jnmz60j7?entry=ttu </t>
  </si>
  <si>
    <t xml:space="preserve">https://www.google.com/maps/place/PT.+RIMBA+DAMAI+SEJAHTERA/@-7.6201174,74.9406533,4z/data=!4m10!1m2!2m1!1sRimba+Damai+Sejahtera!3m6!1s0x2e79b5c55d6d8887:0xb306b9b724ef8a1e!8m2!3d-7.6201174!4d111.8547158!15sChVSaW1iYSBEYW1haSBTZWphaHRlcmGSAQxtYW51ZmFjdHVyZXLgAQA!16s%2Fg%2F11k9cb0hfb?entry=ttu </t>
  </si>
  <si>
    <t xml:space="preserve">https://www.google.com/maps/place/RPA+Lengkong+PT+Trijaya+Lestari+Food,+Bintang+Lima/@-7.5244098,112.0911039,17z/data=!3m1!4b1!4m6!3m5!1s0x2e7838606c784501:0x61286960f40ec3ad!8m2!3d-7.5244151!4d112.0936788!16s%2Fg%2F11f3vljsw9?entry=ttu </t>
  </si>
  <si>
    <t xml:space="preserve">https://www.google.com/maps/place/Tsamaniya+Minimarket+Kertosono/@-7.6026428,111.918732,12z/data=!4m10!1m2!2m1!1sPT.+Tsamaniya+Amanah+Mandiri+nganjuk!3m6!1s0x2e78465f016c9e43:0x33877c6c6bc1e29e!8m2!3d-7.6007809!4d112.1015793!15sCiRQVC4gVHNhbWFuaXlhIEFtYW5haCBNYW5kaXJpIG5nYW5qdWsiA4gBAZIBEWNvbnZlbmllbmNlX3N0b3Jl4AEA!16s%2Fg%2F1pzvrmlk3?entry=ttu </t>
  </si>
  <si>
    <t xml:space="preserve">https://www.google.com/maps/place/Pt+putra+masa+depan/@-7.6566679,111.9510829,17z/data=!3m1!4b1!4m6!3m5!1s0x2e784f0071ca64f7:0x9fdabcdb18d56dc7!8m2!3d-7.6566732!4d111.9536578!16s%2Fg%2F11y36wpqbn?entry=ttu </t>
  </si>
  <si>
    <t xml:space="preserve">https://www.google.com/maps/place/Sinar+Jaya+Prima+Perkasa,+PT/@-7.5312242,112.0811164,17z/data=!3m1!4b1!4m6!3m5!1s0x2e78386586b63849:0xed8a03f5fed6b8b7!8m2!3d-7.5312295!4d112.0836913!16s%2Fg%2F11f3p1qx2t?entry=ttu </t>
  </si>
  <si>
    <t xml:space="preserve">https://www.google.com/maps/place/PT.+ARJA+KAYULAPIS+INDONESIA/@-7.6074989,112.0687705,17z/data=!3m1!4b1!4m6!3m5!1s0x2e78474c2a51d8b3:0xdbcff7a0e0ec2294!8m2!3d-7.6075042!4d112.0713454!16s%2Fg%2F11p16dlhz8?entry=ttu </t>
  </si>
  <si>
    <t xml:space="preserve">https://www.google.com/maps/place/PT.+Sabda+Alam/@-7.6040953,112.0820957,17z/data=!3m1!4b1!4m6!3m5!1s0x2e78465d3f43ab71:0xc589529229571acb!8m2!3d-7.6041006!4d112.0846706!16s%2Fg%2F11c2k2j2gb?entry=ttu </t>
  </si>
  <si>
    <t xml:space="preserve">https://www.google.com/maps/place/PT+Wonokoyo+Hatchery+Nganjuk/@-7.5012647,112.1323315,17z/data=!3m1!4b1!4m6!3m5!1s0x2e783929d711217d:0x863e9a1e59652726!8m2!3d-7.50127!4d112.1349064!16s%2Fg%2F11c2y42jp9?entry=ttu </t>
  </si>
  <si>
    <t xml:space="preserve">https://www.google.com/maps/place/PT.+Multi+Farmindo+Jaya/@-7.4995321,112.0901189,17z/data=!3m1!4b1!4m6!3m5!1s0x2e7839b3d82fbdb1:0x102970694647e0b9!8m2!3d-7.4995374!4d112.0926938!16s%2Fg%2F11j8pbflrp?entry=ttu </t>
  </si>
  <si>
    <t xml:space="preserve">https://www.google.com/maps/place/PT+Berlian+Jaya+Perkasa+Nganjuk/@-7.2928843,110.5065502,9z/data=!4m10!1m2!2m1!1sPT.+Berlian+Jaya+Perkasa!3m6!1s0x2e784bba87f68e61:0x4ead31d4744716a7!8m2!3d-7.5850196!4d111.8798689!15sChhQVC4gQmVybGlhbiBKYXlhIFBlcmthc2GSARBjb3Jwb3JhdGVfb2ZmaWNl4AEA!16s%2Fg%2F11fmdwmt9q?entry=ttu </t>
  </si>
  <si>
    <t xml:space="preserve">https://www.google.com/maps/place/Rumah+Sakit+Islam+Aisyiyah/@-7.6108676,111.9032514,17z/data=!3m1!4b1!4m6!3m5!1s0x2e784ba095242f31:0x7512299f881344c3!8m2!3d-7.6108729!4d111.9058263!16s%2Fg%2F11c1wk2bb5?entry=ttu </t>
  </si>
  <si>
    <t xml:space="preserve">https://www.google.com/maps/place/PT.+Mitra+Saruta+Indonesia/@-7.5588847,111.9118323,17z/data=!3m1!4b1!4m6!3m5!1s0x2e784a797ff8836f:0x5d518b02fd9f462e!8m2!3d-7.55889!4d111.9144072!16s%2Fg%2F11bxj9qhq0?entry=ttu </t>
  </si>
  <si>
    <t xml:space="preserve">https://www.google.com/maps/place/KSPPS+Tunas+Artha+Mandiri/@-7.6110728,111.883614,14z/data=!4m10!1m2!2m1!1sKSP+Tunas+Artha+Mandiri++nganjuk!3m6!1s0x2e784b0a6a6ca791:0x6af4eaf8f3d6063c!8m2!3d-7.6113661!4d111.9033368!15sCiBLU1AgVHVuYXMgQXJ0aGEgTWFuZGlyaSAgbmdhbmp1a5IBFGZlZGVyYWxfY3JlZGl0X3VuaW9u4AEA!16s%2Fg%2F11cn69q4qr?entry=ttu </t>
  </si>
  <si>
    <t xml:space="preserve">https://www.google.com/maps/place/PDAM+Kabupaten+Nganjuk/@-7.6111212,111.9016388,17z/data=!3m1!4b1!4m6!3m5!1s0x2e784b0a7401ae3d:0xc3f5b0bd3f0fda5b!8m2!3d-7.6111265!4d111.9042137!16s%2Fg%2F1s04bryzz?entry=ttu </t>
  </si>
  <si>
    <t xml:space="preserve">https://www.google.com/maps/place/Mega+Elektronik+dan+Handphone+Nganjuk/@-7.6051957,111.8977487,17z/data=!3m1!4b1!4m6!3m5!1s0x2e784b0404113263:0xabeda2c53f3e85a8!8m2!3d-7.605201!4d111.9003236!16s%2Fg%2F1hm56zdxt?entry=ttu </t>
  </si>
  <si>
    <t xml:space="preserve">https://www.google.com/maps/place/PT+SUKSES+ABADI+INDONESIA/@-7.5295214,111.9616639,17z/data=!3m1!4b1!4m6!3m5!1s0x2e78371473a55b35:0x2d2f47963ff1c333!8m2!3d-7.5295267!4d111.9642388!16s%2Fg%2F11nx2v0_np?entry=ttu </t>
  </si>
  <si>
    <t xml:space="preserve">https://www.google.com/maps/place/PT+KERTA+RAJASA+RAYA/@-7.5543445,111.9124792,17z/data=!3m1!4b1!4m6!3m5!1s0x2e784a778597549b:0x32f6d1ef25768bf0!8m2!3d-7.5543498!4d111.9150541!16s%2Fg%2F11c1z7ckhg?entry=ttu </t>
  </si>
  <si>
    <t xml:space="preserve">https://www.google.com/maps/place/WOM+Finance+Cabang+Nganjuk/@-7.595169,111.892555,17z/data=!3m1!4b1!4m6!3m5!1s0x2e784bf436980bc3:0x3504b3dcaaf4903a!8m2!3d-7.5951743!4d111.8951299!16s%2Fg%2F11r_x3bc94?entry=ttu </t>
  </si>
  <si>
    <t xml:space="preserve">https://www.google.com/maps/place/Hutama-Bangunnusa,KSO/@-7.4966148,111.8928086,17z/data=!3m1!4b1!4m6!3m5!1s0x2e7835ace401b3d9:0xd4f8d21419d8725d!8m2!3d-7.4966201!4d111.8953835!16s%2Fg%2F11hdtts3_9?entry=ttu </t>
  </si>
  <si>
    <t xml:space="preserve">https://www.google.com/maps/place/PT+Bayu+Bagus+Bakery/@-7.5669756,112.0709405,17z/data=!3m1!4b1!4m6!3m5!1s0x2e784722817720c9:0x3e38723c61e85a20!8m2!3d-7.5669809!4d112.0735154!16s%2Fg%2F11h_w2d2v9?entry=ttu </t>
  </si>
  <si>
    <t xml:space="preserve">https://www.google.com/maps/place/BFI+NGANJUK/@-7.5955103,111.8930877,17z/data=!3m1!4b1!4m6!3m5!1s0x2e784b4add333fa7:0xb1c341c653dec49c!8m2!3d-7.5955156!4d111.8956626!16s%2Fg%2F11gjt8nn01?entry=ttu </t>
  </si>
  <si>
    <t xml:space="preserve">https://www.google.com/maps/place/Perum+Perhutani+KPH+Nganjuk/@-7.6033797,111.8992717,17z/data=!3m1!4b1!4m6!3m5!1s0x2e784b07b58ae7ed:0xcd76227bd3b5d3!8m2!3d-7.603385!4d111.9018466!16s%2Fg%2F11btt6p2g8?entry=ttu </t>
  </si>
  <si>
    <t xml:space="preserve">https://www.google.com/maps/place/PR.+Cengkir+Gading/@-7.5862368,111.8891277,17z/data=!3m1!4b1!4m6!3m5!1s0x2e784ae5475e0da9:0x9352dd69cb8e6ec5!8m2!3d-7.5862421!4d111.8917026!16s%2Fg%2F1tcwc2_y?entry=ttu </t>
  </si>
  <si>
    <t xml:space="preserve">https://www.google.com/maps/place/PT.+Zhanhui+Jaya+Indonesia/@-7.5643401,111.8379889,17z/data=!3m1!4b1!4m6!3m5!1s0x2e79b5de0c32e471:0xc5ab0cd4c6c26e76!8m2!3d-7.5643454!4d111.8405638!16s%2Fg%2F11rk8vzwm6?entry=ttu  </t>
  </si>
  <si>
    <t xml:space="preserve">https://www.google.com/maps/place/PT.+SUMBER+PLAST+INDO/@-7.6049028,111.9914643,17z/data=!3m1!4b1!4m6!3m5!1s0x2e78491eaaa51d01:0xb6eeb8ab2e900c11!8m2!3d-7.6049081!4d111.9940392!16s%2Fg%2F11dxk_syt8?entry=ttu </t>
  </si>
  <si>
    <t xml:space="preserve">https://www.google.com/maps/place/Bank+Rakyat+Indonesia+(Persero).+PT/@-7.5990179,111.7548316,12z/data=!4m10!1m2!2m1!1sPT.+BRI+(Persero),+Tbk+nganjuk!3m6!1s0x2e784afd6b7cd4ef:0xfb9d429afd85ddf2!8m2!3d-7.5990179!4d111.8990272!15sCh5QVC4gQlJJIChQZXJzZXJvKSwgVGJrIG5nYW5qdWsiA4gBAVocIhpwdCBicmkgcGVyc2VybyB0Ymsgbmdhbmp1a5IBBGJhbmuaASNDaFpEU1VoTk1HOW5TMFZKUTBGblNVTXdhRFZUYWxOM0VBReABAA!16s%2Fg%2F1pzspngrv?entry=ttu </t>
  </si>
  <si>
    <t xml:space="preserve">https://www.google.com/maps/place/PT+Sinergi+Gula+Nusantara/@-7.2379642,112.7347735,17z/data=!3m1!4b1!4m6!3m5!1s0x2dd7f93cc74650a9:0xefdbe35c9fef2f19!8m2!3d-7.2379695!4d112.7373484!16s%2Fg%2F11s21kvnct?entry=ttu </t>
  </si>
  <si>
    <t xml:space="preserve">https://www.google.com/maps/place/PR.+MANGGA+GANDENG/@-7.608272,111.7558827,12z/data=!4m10!1m2!2m1!1sPR.+Mangga+Gandeng!3m6!1s0x2e784b09202df869:0xb951000b99adbe38!8m2!3d-7.608272!4d111.9000783!15sChJQUi4gTWFuZ2dhIEdhbmRlbmeSARBjb3Jwb3JhdGVfb2ZmaWNl4AEA!16s%2Fg%2F11g9vrdwdq?entry=ttu </t>
  </si>
  <si>
    <t xml:space="preserve">https://www.google.com/maps/place/Pt.+Cipta+karya+manshurin/@-7.6318251,112.0131356,17z/data=!4m10!1m2!2m1!1sPT.+Cipta+Karya+Mansurin!3m6!1s0x2e784f4bdcfb5881:0xe0630e7cfec6e87f!8m2!3d-7.6318251!4d112.0176417!15sChlQVC4gQ2lwdGEgS2FyeWEgTWFuc2h1cmlukgEQY29ycG9yYXRlX29mZmljZeABAA!16s%2Fg%2F11j0bqyrvj?entry=ttu </t>
  </si>
  <si>
    <t xml:space="preserve">https://www.google.com/maps/place/PT+Langgeng+Jaya+Makmur/@-7.5833774,111.8760005,17z/data=!3m1!4b1!4m6!3m5!1s0x2e784ac2f33ed44b:0xc12557a457d325c!8m2!3d-7.5833827!4d111.8785754!16s%2Fg%2F1hm1wv1x6?entry=ttu </t>
  </si>
  <si>
    <t xml:space="preserve">https://www.google.com/maps/place/PT.+Lotus+Indah+Textile/@-7.6038542,111.9711593,17z/data=!3m1!4b1!4m6!3m5!1s0x2e784a5710656f71:0x3d3aabe378d5fd6a!8m2!3d-7.6038595!4d111.9737342!16s%2Fg%2F11s5bwds7q?entry=ttu </t>
  </si>
  <si>
    <t xml:space="preserve">https://www.google.com/maps/place/PT.+Tirta+Sukses+Perkasa/@-7.6011707,111.9311769,17z/data=!3m1!4b1!4m6!3m5!1s0x2e784bc8ce23a985:0xeda54a86b2af5b00!8m2!3d-7.601176!4d111.9337518!16s%2Fg%2F11cp7921r4?entry=ttu </t>
  </si>
  <si>
    <t xml:space="preserve">https://www.google.com/maps/search/PT.+Kharisma+Baru+Indonesia,+Bagor/@-7.5568623,111.821718,13z/data=!3m1!4b1?entry=ttu </t>
  </si>
  <si>
    <t xml:space="preserve">https://www.google.com/maps/place/CV.+Andhini+Duta+Petani/@-7.5569547,111.8603431,17z/data=!3m1!4b1!4m6!3m5!1s0x2e784bcdb39e08b7:0x7aa88327010916d2!8m2!3d-7.55696!4d111.862918!16s%2Fg%2F11h77m3fn3?entry=ttu </t>
  </si>
  <si>
    <t xml:space="preserve">https://www.google.com/maps/dir/-7.6111328,111.9053941/PT.+Sumber+Alfaria+Trijaya,+Tbk+tanjunganom/@-7.6197675,111.8787074,12z/data=!3m1!4b1!4m9!4m8!1m1!4e1!1m5!1m1!1s0x2e7848c9ad910517:0x9f3e6374bea0ced5!2m2!1d112.0186318!2d-7.6292558?entry=ttu </t>
  </si>
  <si>
    <t xml:space="preserve">https://www.google.com/maps/dir/-7.6111328,111.9053941/pt.+indoprima+gemilang+plant+1+nganjuk/@-7.6155552,111.8210951,11z/data=!3m1!4b1!4m9!4m8!1m1!4e1!1m5!1m1!1s0x2e784615820a8677:0xb35a15cac1ed6f0e!2m2!1d112.0681915!2d-7.6066775?entry=ttu </t>
  </si>
  <si>
    <t xml:space="preserve">https://www.google.com/maps/dir//Sidokare,+Kec.+Rejoso,+Kabupaten+Nganjuk,+Jawa+Timur+64453/@-7.5611488,111.7981798,12z/data=!4m8!4m7!1m0!1m5!1m1!1s0x2e784aa2735b72e1:0xafb737121bca271a!2m2!1d111.8805815!2d-7.5611564?entry=ttu </t>
  </si>
  <si>
    <t>JML TK</t>
  </si>
  <si>
    <t>KODE WILAYAH</t>
  </si>
  <si>
    <t>35.18.16</t>
  </si>
  <si>
    <t>35.18.10</t>
  </si>
  <si>
    <t>35.18.11</t>
  </si>
  <si>
    <t>35.18.14</t>
  </si>
  <si>
    <t>35.18.13</t>
  </si>
  <si>
    <t>35.18.08</t>
  </si>
  <si>
    <t>35.18.19</t>
  </si>
  <si>
    <t>35.18.07</t>
  </si>
  <si>
    <t>35.18.03</t>
  </si>
  <si>
    <t>35.18.12</t>
  </si>
  <si>
    <t>35.18.04</t>
  </si>
  <si>
    <t>35.18.05</t>
  </si>
  <si>
    <t>35.18.17</t>
  </si>
  <si>
    <t>35.18.20</t>
  </si>
  <si>
    <t>35.18.06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</si>
</sst>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rgb="FF0070C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  <font>
      <b/>
      <u/>
      <sz val="11"/>
      <color rgb="FF000000"/>
      <name val="Times New Roman"/>
      <family val="1"/>
    </font>
    <font>
      <u/>
      <sz val="11"/>
      <color theme="10"/>
      <name val="Calibri"/>
      <family val="2"/>
      <charset val="1"/>
      <scheme val="minor"/>
    </font>
    <font>
      <b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5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 wrapText="1"/>
    </xf>
    <xf numFmtId="0" fontId="6" fillId="0" borderId="1" xfId="0" applyFont="1" applyFill="1" applyBorder="1" applyAlignment="1">
      <alignment vertical="center"/>
    </xf>
    <xf numFmtId="0" fontId="7" fillId="0" borderId="0" xfId="0" applyFont="1" applyBorder="1" applyAlignment="1">
      <alignment vertical="center" wrapText="1"/>
    </xf>
    <xf numFmtId="0" fontId="7" fillId="0" borderId="0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 wrapText="1"/>
    </xf>
    <xf numFmtId="0" fontId="8" fillId="0" borderId="1" xfId="1" applyBorder="1" applyAlignment="1">
      <alignment wrapText="1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wrapText="1"/>
    </xf>
    <xf numFmtId="0" fontId="5" fillId="0" borderId="1" xfId="0" quotePrefix="1" applyFont="1" applyBorder="1" applyAlignment="1">
      <alignment wrapText="1"/>
    </xf>
    <xf numFmtId="0" fontId="6" fillId="0" borderId="0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Perusahaan%20per%20april%202024%20Bar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>
        <row r="6">
          <cell r="B6" t="str">
            <v>PT. Mahatma Agro, Rejoso</v>
          </cell>
          <cell r="C6" t="str">
            <v>Perdagangan</v>
          </cell>
          <cell r="D6" t="str">
            <v>Jl. Tamanan No 1, Sidokare, Kec. Rejoso, Kabupaten Nganjuk</v>
          </cell>
          <cell r="E6" t="str">
            <v>(0358) 331199</v>
          </cell>
          <cell r="F6">
            <v>89</v>
          </cell>
          <cell r="G6">
            <v>0</v>
          </cell>
          <cell r="H6">
            <v>73</v>
          </cell>
          <cell r="I6">
            <v>0</v>
          </cell>
          <cell r="J6" t="str">
            <v>√</v>
          </cell>
          <cell r="K6" t="str">
            <v>√</v>
          </cell>
          <cell r="L6" t="str">
            <v>S</v>
          </cell>
        </row>
        <row r="7">
          <cell r="B7" t="str">
            <v>PT. Indoprima Gemilang Plant 1</v>
          </cell>
          <cell r="C7" t="str">
            <v>Industri</v>
          </cell>
          <cell r="D7" t="str">
            <v>Jl. Panglima Sudirman, Plimping, Gebangkerep, Kec. Baron, Kabupaten Nganjuk</v>
          </cell>
          <cell r="E7" t="str">
            <v>(0358) 5502770</v>
          </cell>
          <cell r="F7">
            <v>944</v>
          </cell>
          <cell r="G7">
            <v>2</v>
          </cell>
          <cell r="H7">
            <v>781</v>
          </cell>
          <cell r="I7">
            <v>0</v>
          </cell>
          <cell r="J7" t="str">
            <v>√</v>
          </cell>
          <cell r="K7">
            <v>0</v>
          </cell>
          <cell r="L7" t="str">
            <v>B</v>
          </cell>
        </row>
        <row r="8">
          <cell r="B8" t="str">
            <v>PT. Sumber Alfaria Trijaya, Tbk</v>
          </cell>
          <cell r="C8" t="str">
            <v>Perdagangan</v>
          </cell>
          <cell r="D8" t="str">
            <v>Jl. Jenderal Ahmad Yani, RT 001/01, Warujayeng, Kec. Tanjunganom, Kab. Nganjuk</v>
          </cell>
          <cell r="E8" t="str">
            <v>(0358) 775266</v>
          </cell>
          <cell r="F8">
            <v>293</v>
          </cell>
          <cell r="G8">
            <v>0</v>
          </cell>
          <cell r="H8">
            <v>293</v>
          </cell>
          <cell r="I8">
            <v>0</v>
          </cell>
          <cell r="J8">
            <v>0</v>
          </cell>
          <cell r="K8">
            <v>0</v>
          </cell>
          <cell r="L8" t="str">
            <v>B</v>
          </cell>
        </row>
        <row r="9">
          <cell r="B9" t="str">
            <v>PT. Agro Bumi Timur, Bagor</v>
          </cell>
          <cell r="C9" t="str">
            <v>Perdagangan</v>
          </cell>
          <cell r="D9" t="str">
            <v>Jl. Diponegoro No. 63, Ds. Banarankulon 
Kec. Bagor, Kab. Nganjuk</v>
          </cell>
          <cell r="E9" t="str">
            <v>(0358) 331199</v>
          </cell>
          <cell r="F9">
            <v>18</v>
          </cell>
          <cell r="G9">
            <v>0</v>
          </cell>
          <cell r="H9">
            <v>48</v>
          </cell>
          <cell r="I9">
            <v>0</v>
          </cell>
          <cell r="J9" t="str">
            <v>√</v>
          </cell>
          <cell r="K9" t="str">
            <v>√</v>
          </cell>
          <cell r="L9" t="str">
            <v>S</v>
          </cell>
        </row>
        <row r="10">
          <cell r="B10" t="str">
            <v>PT. Kharisma Baru Indonesia, Bagor</v>
          </cell>
          <cell r="C10" t="str">
            <v>Industri</v>
          </cell>
          <cell r="D10" t="str">
            <v>Jl. Guyangan 88, Kerepkidul, Bagor, Nganjuk, Jawa Timur</v>
          </cell>
          <cell r="E10" t="str">
            <v>(0358) 3516228</v>
          </cell>
          <cell r="F10">
            <v>474</v>
          </cell>
          <cell r="G10">
            <v>2</v>
          </cell>
          <cell r="H10">
            <v>409</v>
          </cell>
          <cell r="I10">
            <v>5</v>
          </cell>
          <cell r="J10" t="str">
            <v>√</v>
          </cell>
          <cell r="K10" t="str">
            <v>√</v>
          </cell>
          <cell r="L10" t="str">
            <v>B</v>
          </cell>
        </row>
        <row r="11">
          <cell r="B11" t="str">
            <v>PT. Tirta Sukses Perkasa, Sukomoro</v>
          </cell>
          <cell r="C11" t="str">
            <v>Industri</v>
          </cell>
          <cell r="D11" t="str">
            <v>Jl. Panglima Sudirman No.6, Pehserut, Kec. Sukomoro, Kab. Nganjuk</v>
          </cell>
          <cell r="E11" t="str">
            <v>081347142632</v>
          </cell>
          <cell r="F11">
            <v>17</v>
          </cell>
          <cell r="G11">
            <v>4</v>
          </cell>
          <cell r="H11">
            <v>156</v>
          </cell>
          <cell r="I11">
            <v>0</v>
          </cell>
          <cell r="J11" t="str">
            <v>√</v>
          </cell>
          <cell r="K11" t="str">
            <v>√</v>
          </cell>
          <cell r="L11" t="str">
            <v>B</v>
          </cell>
        </row>
        <row r="12">
          <cell r="B12" t="str">
            <v>PT. Lotus Indah Textile Industries, Sukomoro</v>
          </cell>
          <cell r="C12" t="str">
            <v>Industri</v>
          </cell>
          <cell r="D12" t="str">
            <v>Jl. Raya Nganjuk, Kedungsuko, Kertosono, Kec. Sukomoro, Kabupaten Nganjuk</v>
          </cell>
          <cell r="E12" t="str">
            <v>(0358) 3550093</v>
          </cell>
          <cell r="F12">
            <v>1064</v>
          </cell>
          <cell r="G12">
            <v>3</v>
          </cell>
          <cell r="H12">
            <v>1067</v>
          </cell>
          <cell r="I12">
            <v>0</v>
          </cell>
          <cell r="J12" t="str">
            <v>√</v>
          </cell>
          <cell r="K12">
            <v>0</v>
          </cell>
          <cell r="L12" t="str">
            <v>B</v>
          </cell>
        </row>
        <row r="13">
          <cell r="B13" t="str">
            <v>PT. Langgeng Jaya Makmur, Bagor</v>
          </cell>
          <cell r="C13" t="str">
            <v>Industri</v>
          </cell>
          <cell r="D13" t="str">
            <v>Jl. Dipoyono No.14, Guyangan, Kec. Bagor, Kab. Nganjuk</v>
          </cell>
          <cell r="E13" t="str">
            <v>081271364463</v>
          </cell>
          <cell r="F13">
            <v>1253</v>
          </cell>
          <cell r="G13">
            <v>2</v>
          </cell>
          <cell r="H13">
            <v>812</v>
          </cell>
          <cell r="I13">
            <v>0</v>
          </cell>
          <cell r="J13" t="str">
            <v>√</v>
          </cell>
          <cell r="K13" t="str">
            <v>√</v>
          </cell>
          <cell r="L13" t="str">
            <v>B</v>
          </cell>
        </row>
        <row r="14">
          <cell r="B14" t="str">
            <v>SPPBE PT. Laju, Loceret</v>
          </cell>
          <cell r="C14" t="str">
            <v>Perdagangan</v>
          </cell>
          <cell r="D14" t="str">
            <v>Kwagean, Kec. Loceret, Kabupaten Nganjuk</v>
          </cell>
          <cell r="E14" t="str">
            <v>(0358) 330887</v>
          </cell>
          <cell r="F14">
            <v>33</v>
          </cell>
          <cell r="G14">
            <v>0</v>
          </cell>
          <cell r="H14">
            <v>27</v>
          </cell>
          <cell r="I14">
            <v>0</v>
          </cell>
          <cell r="J14">
            <v>0</v>
          </cell>
          <cell r="K14">
            <v>0</v>
          </cell>
          <cell r="L14" t="str">
            <v>M</v>
          </cell>
        </row>
        <row r="15">
          <cell r="B15" t="str">
            <v>PT. Moro Ayu Cosmetindo</v>
          </cell>
          <cell r="C15" t="str">
            <v>Perdagangan</v>
          </cell>
          <cell r="D15" t="str">
            <v>Jl. Letjen Suprapto No.184, Jatirejo, Kec. Nganjuk, Kabupaten Nganjuk</v>
          </cell>
          <cell r="E15" t="str">
            <v>081239719892</v>
          </cell>
          <cell r="F15">
            <v>20</v>
          </cell>
          <cell r="G15">
            <v>0</v>
          </cell>
          <cell r="H15">
            <v>10</v>
          </cell>
          <cell r="I15">
            <v>0</v>
          </cell>
          <cell r="J15">
            <v>0</v>
          </cell>
          <cell r="K15">
            <v>0</v>
          </cell>
          <cell r="L15" t="str">
            <v>M</v>
          </cell>
        </row>
        <row r="16">
          <cell r="B16" t="str">
            <v>PT. Cipta Karya Mansurin</v>
          </cell>
          <cell r="C16" t="str">
            <v>Jasa</v>
          </cell>
          <cell r="D16" t="str">
            <v>Jalan Ahmad Yani ruko Kav 5, Warujayeng, Kec. Tanjunganom, Kab. Nganjuk</v>
          </cell>
          <cell r="E16" t="str">
            <v>082264486484</v>
          </cell>
          <cell r="F16">
            <v>72</v>
          </cell>
          <cell r="G16">
            <v>0</v>
          </cell>
          <cell r="H16">
            <v>46</v>
          </cell>
          <cell r="I16">
            <v>0</v>
          </cell>
          <cell r="J16">
            <v>0</v>
          </cell>
          <cell r="K16">
            <v>0</v>
          </cell>
          <cell r="L16" t="str">
            <v>S</v>
          </cell>
        </row>
        <row r="17">
          <cell r="B17" t="str">
            <v>PT. Temprina Media Grafika</v>
          </cell>
          <cell r="C17" t="str">
            <v>Perdagangan</v>
          </cell>
          <cell r="D17" t="str">
            <v>JL. Raya Ngrajek, Km. 10, Desa Sambirejo, Tambakrejo, Sambirejo, Kec. Tanjunganom, Kabupaten Nganjuk</v>
          </cell>
          <cell r="E17" t="str">
            <v>(0358) 773500</v>
          </cell>
          <cell r="F17">
            <v>33</v>
          </cell>
          <cell r="G17">
            <v>0</v>
          </cell>
          <cell r="H17">
            <v>33</v>
          </cell>
          <cell r="I17">
            <v>0</v>
          </cell>
          <cell r="J17">
            <v>0</v>
          </cell>
          <cell r="K17">
            <v>0</v>
          </cell>
          <cell r="L17" t="str">
            <v>M</v>
          </cell>
        </row>
        <row r="18">
          <cell r="B18" t="str">
            <v>PR. Mangga Gandeng</v>
          </cell>
          <cell r="C18" t="str">
            <v>Industri</v>
          </cell>
          <cell r="D18" t="str">
            <v>Jl. Ahmad Yani No.153, Payaman, Kec. Nganjuk, Kabupaten Nganjuk</v>
          </cell>
          <cell r="E18" t="str">
            <v>(0358) 328119</v>
          </cell>
          <cell r="F18">
            <v>560</v>
          </cell>
          <cell r="G18">
            <v>0</v>
          </cell>
          <cell r="H18">
            <v>40</v>
          </cell>
          <cell r="I18">
            <v>7</v>
          </cell>
          <cell r="J18">
            <v>0</v>
          </cell>
          <cell r="K18" t="str">
            <v>√</v>
          </cell>
          <cell r="L18" t="str">
            <v>B</v>
          </cell>
        </row>
        <row r="19">
          <cell r="B19" t="str">
            <v>PT. Sinergi Gula Nusantara</v>
          </cell>
          <cell r="C19" t="str">
            <v>Industri</v>
          </cell>
          <cell r="D19" t="str">
            <v>Jalan Raya Lestari, Ngrombot, Patianrowo, Kertosono, Nganjuk</v>
          </cell>
          <cell r="E19" t="str">
            <v>(0358) 551439</v>
          </cell>
          <cell r="F19">
            <v>646</v>
          </cell>
          <cell r="G19">
            <v>1</v>
          </cell>
          <cell r="H19">
            <v>406</v>
          </cell>
          <cell r="I19">
            <v>0</v>
          </cell>
          <cell r="J19">
            <v>0</v>
          </cell>
          <cell r="K19" t="str">
            <v>√</v>
          </cell>
          <cell r="L19" t="str">
            <v>B</v>
          </cell>
        </row>
        <row r="20">
          <cell r="B20" t="str">
            <v>PT. BRI (Persero), Tbk</v>
          </cell>
          <cell r="C20" t="str">
            <v>Keuangan</v>
          </cell>
          <cell r="D20" t="str">
            <v>Jl. Gatot Subroto No.11, Kauman, Kec. Nganjuk, Kabupaten Nganjuk</v>
          </cell>
          <cell r="E20" t="str">
            <v>(0358) 553875</v>
          </cell>
          <cell r="F20">
            <v>501</v>
          </cell>
          <cell r="G20">
            <v>0</v>
          </cell>
          <cell r="H20">
            <v>483</v>
          </cell>
          <cell r="I20">
            <v>0</v>
          </cell>
          <cell r="J20">
            <v>0</v>
          </cell>
          <cell r="K20" t="str">
            <v>√</v>
          </cell>
          <cell r="L20" t="str">
            <v>B</v>
          </cell>
        </row>
        <row r="21">
          <cell r="B21" t="str">
            <v>PT. BPR Wijaya Prima</v>
          </cell>
          <cell r="C21" t="str">
            <v>Keuangan</v>
          </cell>
          <cell r="D21" t="str">
            <v>Jl. Jend. A. Yani No.381, Winong, Ploso, Kec. Nganjuk, Kabupaten Nganjuk</v>
          </cell>
          <cell r="E21" t="str">
            <v>(0358) 321324</v>
          </cell>
          <cell r="F21">
            <v>7</v>
          </cell>
          <cell r="G21">
            <v>0</v>
          </cell>
          <cell r="H21">
            <v>7</v>
          </cell>
          <cell r="I21">
            <v>0</v>
          </cell>
          <cell r="J21">
            <v>0</v>
          </cell>
          <cell r="K21">
            <v>0</v>
          </cell>
          <cell r="L21" t="str">
            <v>MI</v>
          </cell>
        </row>
        <row r="22">
          <cell r="B22" t="str">
            <v>PT. Sumber Plast Indo, Tanjunganom</v>
          </cell>
          <cell r="C22" t="str">
            <v>Industri</v>
          </cell>
          <cell r="D22" t="str">
            <v>Area Sawah, Sambirejo, Kec. Tanjunganom, Kabupaten Nganjuk</v>
          </cell>
          <cell r="E22" t="str">
            <v>(0358) 771999</v>
          </cell>
          <cell r="F22">
            <v>125</v>
          </cell>
          <cell r="G22">
            <v>2</v>
          </cell>
          <cell r="H22">
            <v>119</v>
          </cell>
          <cell r="I22">
            <v>0</v>
          </cell>
          <cell r="J22">
            <v>0</v>
          </cell>
          <cell r="K22">
            <v>0</v>
          </cell>
          <cell r="L22" t="str">
            <v>S</v>
          </cell>
        </row>
        <row r="23">
          <cell r="B23" t="str">
            <v>UD. Arif NS (SPBU Pace)</v>
          </cell>
          <cell r="C23" t="str">
            <v>Perdagangan</v>
          </cell>
          <cell r="D23" t="str">
            <v>Ds Warujayeng Dsn. Pelem</v>
          </cell>
          <cell r="E23">
            <v>0</v>
          </cell>
          <cell r="F23">
            <v>21</v>
          </cell>
          <cell r="G23">
            <v>0</v>
          </cell>
          <cell r="H23">
            <v>21</v>
          </cell>
          <cell r="I23">
            <v>0</v>
          </cell>
          <cell r="J23">
            <v>0</v>
          </cell>
          <cell r="K23">
            <v>0</v>
          </cell>
          <cell r="L23" t="str">
            <v>K</v>
          </cell>
        </row>
        <row r="24">
          <cell r="B24" t="str">
            <v>PT. Eagle Sporting Goods, Bagor</v>
          </cell>
          <cell r="C24" t="str">
            <v>Industri</v>
          </cell>
          <cell r="D24" t="str">
            <v>Jl. Raya Guyangan 86, Kerepkidul, Kec. Bagor, Kab. Nganjuk</v>
          </cell>
          <cell r="E24" t="str">
            <v>(0358) 3510888</v>
          </cell>
          <cell r="F24">
            <v>753</v>
          </cell>
          <cell r="G24">
            <v>3</v>
          </cell>
          <cell r="H24">
            <v>631</v>
          </cell>
          <cell r="I24">
            <v>1</v>
          </cell>
          <cell r="J24" t="str">
            <v>√</v>
          </cell>
          <cell r="K24">
            <v>0</v>
          </cell>
          <cell r="L24" t="str">
            <v>B</v>
          </cell>
        </row>
        <row r="25">
          <cell r="B25" t="str">
            <v>PT. Gunawan Fajar, lengkong</v>
          </cell>
          <cell r="C25" t="str">
            <v>Industri</v>
          </cell>
          <cell r="D25" t="str">
            <v>Jl. Langsep No.3, Pelem, Kertosono, Nganjuk, Jawa Timur</v>
          </cell>
          <cell r="E25" t="str">
            <v>(031) 7442655</v>
          </cell>
          <cell r="F25">
            <v>405</v>
          </cell>
          <cell r="G25">
            <v>0</v>
          </cell>
          <cell r="H25">
            <v>216</v>
          </cell>
          <cell r="I25">
            <v>1</v>
          </cell>
          <cell r="J25">
            <v>0</v>
          </cell>
          <cell r="K25">
            <v>0</v>
          </cell>
          <cell r="L25" t="str">
            <v>B</v>
          </cell>
        </row>
        <row r="26">
          <cell r="B26" t="str">
            <v>PT. Sinar Baja Electric Lengkong</v>
          </cell>
          <cell r="C26" t="str">
            <v>Industri</v>
          </cell>
          <cell r="D26" t="str">
            <v>bagorwetan rt 3 tw 1, Padasan, Bagor Wetan, Kec. Sukomoro, Kabupaten Nganjuk, Jawa Timur</v>
          </cell>
          <cell r="E26">
            <v>0</v>
          </cell>
          <cell r="F26">
            <v>385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 t="str">
            <v>B</v>
          </cell>
        </row>
        <row r="27">
          <cell r="B27" t="str">
            <v xml:space="preserve">PT. BPR Armindo Kencana </v>
          </cell>
          <cell r="C27" t="str">
            <v>Keuangan</v>
          </cell>
          <cell r="D27" t="str">
            <v>Nganjuk</v>
          </cell>
          <cell r="E27" t="str">
            <v>(0358) 773930</v>
          </cell>
          <cell r="F27">
            <v>25</v>
          </cell>
          <cell r="G27">
            <v>0</v>
          </cell>
          <cell r="H27">
            <v>16</v>
          </cell>
          <cell r="I27">
            <v>0</v>
          </cell>
          <cell r="J27">
            <v>0</v>
          </cell>
          <cell r="K27">
            <v>0</v>
          </cell>
          <cell r="L27" t="str">
            <v>M</v>
          </cell>
        </row>
        <row r="28">
          <cell r="B28" t="str">
            <v>PT. Kapasari</v>
          </cell>
          <cell r="C28" t="str">
            <v>Perdagangan</v>
          </cell>
          <cell r="D28" t="str">
            <v>Babadan, Kec. Pace, Kabupaten Nganjuk, Jawa Timur</v>
          </cell>
          <cell r="E28" t="str">
            <v>(0358) 7701892</v>
          </cell>
          <cell r="F28">
            <v>48</v>
          </cell>
          <cell r="G28">
            <v>0</v>
          </cell>
          <cell r="H28">
            <v>32</v>
          </cell>
          <cell r="I28">
            <v>0</v>
          </cell>
          <cell r="J28">
            <v>0</v>
          </cell>
          <cell r="K28" t="str">
            <v>√</v>
          </cell>
          <cell r="L28" t="str">
            <v>B</v>
          </cell>
        </row>
        <row r="29">
          <cell r="B29" t="str">
            <v>Hotel Shinta 1</v>
          </cell>
          <cell r="C29" t="str">
            <v>Jasa</v>
          </cell>
          <cell r="D29" t="str">
            <v>Guyangan, Kec. Bagor, Kabupaten Nganjuk, Jawa Timur</v>
          </cell>
          <cell r="E29" t="str">
            <v>(0358) 551588</v>
          </cell>
          <cell r="F29">
            <v>12</v>
          </cell>
          <cell r="G29">
            <v>0</v>
          </cell>
          <cell r="H29">
            <v>5</v>
          </cell>
          <cell r="I29">
            <v>0</v>
          </cell>
          <cell r="J29">
            <v>0</v>
          </cell>
          <cell r="K29">
            <v>0</v>
          </cell>
          <cell r="L29" t="str">
            <v>K</v>
          </cell>
        </row>
        <row r="30">
          <cell r="B30" t="str">
            <v>PT. FIF Cbg Nganjuk</v>
          </cell>
          <cell r="C30" t="str">
            <v>Keuangan</v>
          </cell>
          <cell r="D30" t="str">
            <v>Jl. Dermojoyo No.09, Payaman, Kec. Nganjuk, Kabupaten Nganjuk</v>
          </cell>
          <cell r="E30" t="str">
            <v>083133138180</v>
          </cell>
          <cell r="F30">
            <v>80</v>
          </cell>
          <cell r="G30">
            <v>0</v>
          </cell>
          <cell r="H30">
            <v>73</v>
          </cell>
          <cell r="I30">
            <v>0</v>
          </cell>
          <cell r="J30">
            <v>0</v>
          </cell>
          <cell r="K30" t="str">
            <v>√</v>
          </cell>
          <cell r="L30" t="str">
            <v>M</v>
          </cell>
        </row>
        <row r="31">
          <cell r="B31" t="str">
            <v>Hotel Shinta 2</v>
          </cell>
          <cell r="C31" t="str">
            <v>Jasa</v>
          </cell>
          <cell r="D31" t="str">
            <v>Jl. Anjuk Ladang, Candirejo, Kec. Loceret, Kabupaten Nganjuk, Jawa Timur</v>
          </cell>
          <cell r="E31" t="str">
            <v>(0358) 554024</v>
          </cell>
          <cell r="F31">
            <v>9</v>
          </cell>
          <cell r="G31">
            <v>0</v>
          </cell>
          <cell r="H31">
            <v>4</v>
          </cell>
          <cell r="I31">
            <v>0</v>
          </cell>
          <cell r="J31">
            <v>0</v>
          </cell>
          <cell r="K31">
            <v>0</v>
          </cell>
          <cell r="L31" t="str">
            <v>MI</v>
          </cell>
        </row>
        <row r="32">
          <cell r="B32" t="str">
            <v>PT. Jaya Kertas</v>
          </cell>
          <cell r="C32" t="str">
            <v>Industri</v>
          </cell>
          <cell r="D32" t="str">
            <v>Jl. Wilis II, Jamusan, Sono Patik, Kec. Berbek, Kabupaten Nganjuk, Jawa Timur</v>
          </cell>
          <cell r="E32" t="str">
            <v>081211109824</v>
          </cell>
          <cell r="F32">
            <v>525</v>
          </cell>
          <cell r="G32">
            <v>0</v>
          </cell>
          <cell r="H32">
            <v>501</v>
          </cell>
          <cell r="I32">
            <v>0</v>
          </cell>
          <cell r="J32">
            <v>0</v>
          </cell>
          <cell r="K32">
            <v>0</v>
          </cell>
          <cell r="L32" t="str">
            <v>B</v>
          </cell>
        </row>
        <row r="33">
          <cell r="B33" t="str">
            <v>Klinik Mata Edc Warujayeng</v>
          </cell>
          <cell r="C33" t="str">
            <v>Jasa</v>
          </cell>
          <cell r="D33" t="str">
            <v>Jalan Merdeka 1 Ruko Mustika Square Kav 2 L, Mangundikaran, Mangun Dikaran, Kec. Nganjuk, Kabupaten Nganjuk, Jawa Timur</v>
          </cell>
          <cell r="E33" t="str">
            <v>081335620146</v>
          </cell>
          <cell r="F33">
            <v>25</v>
          </cell>
          <cell r="G33">
            <v>0</v>
          </cell>
          <cell r="H33">
            <v>25</v>
          </cell>
          <cell r="I33">
            <v>0</v>
          </cell>
          <cell r="J33">
            <v>0</v>
          </cell>
          <cell r="K33">
            <v>0</v>
          </cell>
          <cell r="L33" t="str">
            <v>K</v>
          </cell>
        </row>
        <row r="34">
          <cell r="B34" t="str">
            <v>CV. Rio Karya Wood</v>
          </cell>
          <cell r="C34" t="str">
            <v>Industri</v>
          </cell>
          <cell r="D34" t="str">
            <v>Ngelan, Loceret, Kec. Loceret, Kabupaten Nganjuk, Jawa Timur </v>
          </cell>
          <cell r="E34">
            <v>0</v>
          </cell>
          <cell r="F34">
            <v>60</v>
          </cell>
          <cell r="G34">
            <v>0</v>
          </cell>
          <cell r="H34">
            <v>10</v>
          </cell>
          <cell r="I34">
            <v>0</v>
          </cell>
          <cell r="J34">
            <v>0</v>
          </cell>
          <cell r="K34">
            <v>0</v>
          </cell>
          <cell r="L34" t="str">
            <v>B</v>
          </cell>
        </row>
        <row r="35">
          <cell r="B35" t="str">
            <v>BPR PT. Nagajayaraya Sentra Sentosa, Kertosono</v>
          </cell>
          <cell r="C35" t="str">
            <v>Jasa</v>
          </cell>
          <cell r="D35" t="str">
            <v>Jatijero, Mojoduwur, Kec. Ngetos, Kabupaten Nganjuk, Jawa Timur</v>
          </cell>
          <cell r="E35" t="str">
            <v>(0358) 55495</v>
          </cell>
          <cell r="F35">
            <v>8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 t="str">
            <v>MI</v>
          </cell>
        </row>
        <row r="36">
          <cell r="B36" t="str">
            <v xml:space="preserve">RS. Sumber Waras </v>
          </cell>
          <cell r="C36" t="str">
            <v>Jasa</v>
          </cell>
          <cell r="D36" t="str">
            <v>Jl. Raya Madiun - Nganjuk, Petak, Kec. Bagor, Kabupaten Nganjuk, Jawa Timur</v>
          </cell>
          <cell r="E36">
            <v>0</v>
          </cell>
          <cell r="F36">
            <v>35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 t="str">
            <v>MI</v>
          </cell>
        </row>
        <row r="37">
          <cell r="B37" t="str">
            <v>PT. Dharma Bunda Media, Sukomoro</v>
          </cell>
          <cell r="C37" t="str">
            <v>Jasa</v>
          </cell>
          <cell r="D37" t="str">
            <v>Jetis, Warujayeng, Kec. Tanjunganom, Kabupaten Nganjuk, Jawa Timur</v>
          </cell>
          <cell r="E37">
            <v>0</v>
          </cell>
          <cell r="F37">
            <v>6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 t="str">
            <v>MI</v>
          </cell>
        </row>
        <row r="38">
          <cell r="B38" t="str">
            <v>CV. Cahaya Gemilang Indah Loceret</v>
          </cell>
          <cell r="C38" t="str">
            <v>Perdagangan</v>
          </cell>
          <cell r="D38" t="str">
            <v> JL. Raya Kediri Warujayeng, Prambon, Ngetrep, Kurungrejo, Nganjuk, Kabupaten Nganjuk, Jawa Timur</v>
          </cell>
          <cell r="E38" t="str">
            <v>081335199288</v>
          </cell>
          <cell r="F38">
            <v>70</v>
          </cell>
          <cell r="G38">
            <v>0</v>
          </cell>
          <cell r="H38">
            <v>35</v>
          </cell>
          <cell r="I38">
            <v>5</v>
          </cell>
          <cell r="J38" t="str">
            <v>√</v>
          </cell>
          <cell r="K38">
            <v>0</v>
          </cell>
          <cell r="L38" t="str">
            <v>S</v>
          </cell>
        </row>
        <row r="39">
          <cell r="B39" t="str">
            <v>CV. Borobudur Prima Swalayan</v>
          </cell>
          <cell r="C39" t="str">
            <v>Perdagangan</v>
          </cell>
          <cell r="D39" t="str">
            <v>Jl. Tamanan, Guyangan, Kec. Bagor, Kabupaten Nganjuk, Jawa Timur</v>
          </cell>
          <cell r="E39" t="str">
            <v>08123402380</v>
          </cell>
          <cell r="F39">
            <v>111</v>
          </cell>
          <cell r="G39">
            <v>0</v>
          </cell>
          <cell r="H39">
            <v>60</v>
          </cell>
          <cell r="I39">
            <v>0</v>
          </cell>
          <cell r="J39" t="str">
            <v>√</v>
          </cell>
          <cell r="K39">
            <v>0</v>
          </cell>
          <cell r="L39" t="str">
            <v>S</v>
          </cell>
        </row>
        <row r="40">
          <cell r="B40" t="str">
            <v>PT. Anom Surya Pharmindo, Tanjunganom</v>
          </cell>
          <cell r="C40" t="str">
            <v>Perdagangan</v>
          </cell>
          <cell r="D40" t="str">
            <v>Jl. Raya Prambon - Kediri, Gedong, Tanjungtani, Kec. Prambon, Kabupaten Nganjuk, Jawa Timur</v>
          </cell>
          <cell r="E40" t="str">
            <v>(0358) 7701060</v>
          </cell>
          <cell r="F40">
            <v>17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 t="str">
            <v>K</v>
          </cell>
        </row>
        <row r="41">
          <cell r="B41" t="str">
            <v>Apotek Sumberanom, Tanjunganom</v>
          </cell>
          <cell r="C41" t="str">
            <v>Perdagangan</v>
          </cell>
          <cell r="D41" t="str">
            <v>Jl. May Jend. Supeno No.76, Sengkut, Ngrawan, Kec. Berbek, Kabupaten Nganjuk, Jawa Timur</v>
          </cell>
          <cell r="E41" t="str">
            <v>(0358) 775306</v>
          </cell>
          <cell r="F41">
            <v>48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 t="str">
            <v>K</v>
          </cell>
        </row>
        <row r="42">
          <cell r="B42" t="str">
            <v>Swakarya Insan Mandiri, Nganjuk</v>
          </cell>
          <cell r="C42" t="str">
            <v>Jasa</v>
          </cell>
          <cell r="D42" t="str">
            <v>Dipan Utara, Tanjunganom, Kec. Tanjunganom, Kabupaten Nganjuk, Jawa Timur</v>
          </cell>
          <cell r="E42">
            <v>0</v>
          </cell>
          <cell r="F42">
            <v>36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 t="str">
            <v>M</v>
          </cell>
        </row>
        <row r="43">
          <cell r="B43" t="str">
            <v xml:space="preserve">PT. Capglobal Industry International </v>
          </cell>
          <cell r="C43" t="str">
            <v>Industri</v>
          </cell>
          <cell r="D43" t="str">
            <v>Jl. Gondang-Sukomoro No.17, Dusun Karangpedat, Gondangkulon, Kec. Gondang, Kabupaten Nganjuk, Jawa Timur</v>
          </cell>
          <cell r="E43" t="str">
            <v>(0358) 3518881</v>
          </cell>
          <cell r="F43">
            <v>619</v>
          </cell>
          <cell r="G43">
            <v>0</v>
          </cell>
          <cell r="H43">
            <v>490</v>
          </cell>
          <cell r="I43">
            <v>0</v>
          </cell>
          <cell r="J43" t="str">
            <v>√</v>
          </cell>
          <cell r="K43" t="str">
            <v>√</v>
          </cell>
          <cell r="L43" t="str">
            <v>B</v>
          </cell>
        </row>
        <row r="44">
          <cell r="B44" t="str">
            <v>PT. Zhanhui Jaya Indonesia, Bagor</v>
          </cell>
          <cell r="C44" t="str">
            <v>Jasa</v>
          </cell>
          <cell r="D44" t="str">
            <v>Jl. DR. Soetomo No.73, Payaman, Kec. Nganjuk, Kabupaten Nganjuk, Jawa Timur </v>
          </cell>
          <cell r="E44" t="str">
            <v> 082140696402</v>
          </cell>
          <cell r="F44">
            <v>1253</v>
          </cell>
          <cell r="G44">
            <v>0</v>
          </cell>
          <cell r="H44">
            <v>45</v>
          </cell>
          <cell r="I44">
            <v>0</v>
          </cell>
          <cell r="J44" t="str">
            <v>√</v>
          </cell>
          <cell r="K44" t="str">
            <v>√</v>
          </cell>
          <cell r="L44" t="str">
            <v>B</v>
          </cell>
        </row>
        <row r="45">
          <cell r="B45" t="str">
            <v xml:space="preserve">PT. POS Indonesia UPT Nganjuk </v>
          </cell>
          <cell r="C45" t="str">
            <v>Jasa</v>
          </cell>
          <cell r="D45" t="str">
            <v>ds teken glagahan, kec loceret</v>
          </cell>
          <cell r="E45" t="str">
            <v>(0358) 321738</v>
          </cell>
          <cell r="F45">
            <v>9</v>
          </cell>
          <cell r="G45">
            <v>0</v>
          </cell>
          <cell r="H45">
            <v>8</v>
          </cell>
          <cell r="I45">
            <v>0</v>
          </cell>
          <cell r="J45">
            <v>0</v>
          </cell>
          <cell r="K45">
            <v>0</v>
          </cell>
          <cell r="L45" t="str">
            <v>MI</v>
          </cell>
        </row>
        <row r="46">
          <cell r="B46" t="str">
            <v>PR. Cengkir Gading</v>
          </cell>
          <cell r="C46" t="str">
            <v>Industri</v>
          </cell>
          <cell r="D46" t="str">
            <v>Jl. Panglima Sudirman No.5, Mangundikaran, Mangun Dikaran, Kec. Nganjuk, Kabupaten Nganjuk, Jawa Timur</v>
          </cell>
          <cell r="E46" t="str">
            <v>081332114077</v>
          </cell>
          <cell r="F46">
            <v>81</v>
          </cell>
          <cell r="G46">
            <v>0</v>
          </cell>
          <cell r="H46">
            <v>59</v>
          </cell>
          <cell r="I46">
            <v>5</v>
          </cell>
          <cell r="J46">
            <v>0</v>
          </cell>
          <cell r="K46">
            <v>0</v>
          </cell>
          <cell r="L46" t="str">
            <v>B</v>
          </cell>
        </row>
        <row r="47">
          <cell r="B47" t="str">
            <v>UD. Karim Group</v>
          </cell>
          <cell r="C47" t="str">
            <v>Perdagangan</v>
          </cell>
          <cell r="D47" t="str">
            <v>Jl. Jenderal Gatot Subroto No.88, Kauman, Kec. Nganjuk, Kabupaten Nganjuk, Jawa Timur</v>
          </cell>
          <cell r="E47">
            <v>0</v>
          </cell>
          <cell r="F47">
            <v>20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 t="str">
            <v>MI</v>
          </cell>
        </row>
        <row r="48">
          <cell r="B48" t="str">
            <v>Perum Perhutani KPH Nganjuk</v>
          </cell>
          <cell r="C48" t="str">
            <v>Industri</v>
          </cell>
          <cell r="D48" t="str">
            <v>Jl. Wilis, Jarakan, Kramat, Kec. Nganjuk, Kabupaten Nganjuk, Jawa Timur </v>
          </cell>
          <cell r="E48" t="str">
            <v>(0358) 326015</v>
          </cell>
          <cell r="F48">
            <v>198</v>
          </cell>
          <cell r="G48">
            <v>0</v>
          </cell>
          <cell r="H48">
            <v>194</v>
          </cell>
          <cell r="I48">
            <v>3</v>
          </cell>
          <cell r="J48">
            <v>0</v>
          </cell>
          <cell r="K48" t="str">
            <v>√</v>
          </cell>
          <cell r="L48" t="str">
            <v>B</v>
          </cell>
        </row>
        <row r="49">
          <cell r="B49" t="str">
            <v>PT. Karya Niaga Bersama</v>
          </cell>
          <cell r="C49" t="str">
            <v>Industri</v>
          </cell>
          <cell r="D49" t="str">
            <v>Nganjuk</v>
          </cell>
          <cell r="E49" t="str">
            <v>085798904572</v>
          </cell>
          <cell r="F49">
            <v>180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 t="str">
            <v>√</v>
          </cell>
          <cell r="L49" t="str">
            <v>M</v>
          </cell>
        </row>
        <row r="50">
          <cell r="B50" t="str">
            <v>PT. Bank BTPN Nganjuk</v>
          </cell>
          <cell r="C50" t="str">
            <v>Keuangan</v>
          </cell>
          <cell r="D50" t="str">
            <v>Kec Sukomoro</v>
          </cell>
          <cell r="E50" t="str">
            <v>(0358) 330330</v>
          </cell>
          <cell r="F50">
            <v>21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 t="str">
            <v>K</v>
          </cell>
        </row>
        <row r="51">
          <cell r="B51" t="str">
            <v>PT. Pegadaian (Persero) Cbg Nganjuk</v>
          </cell>
          <cell r="C51" t="str">
            <v>Keuangan</v>
          </cell>
          <cell r="D51" t="str">
            <v>Kec. Prambon</v>
          </cell>
          <cell r="E51" t="str">
            <v>(0358) 321796</v>
          </cell>
          <cell r="F51">
            <v>14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 t="str">
            <v>K</v>
          </cell>
        </row>
        <row r="52">
          <cell r="B52" t="str">
            <v>PT. Naavagreen Indonesia Cbg Nganjuk</v>
          </cell>
          <cell r="C52" t="str">
            <v>Perdagangan</v>
          </cell>
          <cell r="D52" t="str">
            <v>Jl. Bojonegoro No.25, Rejoso, Talang, Kec. Rejoso, Kabupaten Nganjuk, Jawa Timur</v>
          </cell>
          <cell r="E52" t="str">
            <v>08112836639</v>
          </cell>
          <cell r="F52">
            <v>16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 t="str">
            <v>K</v>
          </cell>
        </row>
        <row r="53">
          <cell r="B53" t="str">
            <v>PT. Bank Muamalat Indonesia Kcp Nganjuk</v>
          </cell>
          <cell r="C53" t="str">
            <v>Keuangan</v>
          </cell>
          <cell r="D53" t="str">
            <v>Jl. Wr. Supratman, 7 Kertosono Nganjuk</v>
          </cell>
          <cell r="E53" t="str">
            <v>(0358) 331900</v>
          </cell>
          <cell r="F53">
            <v>20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 t="str">
            <v>MI</v>
          </cell>
        </row>
        <row r="54">
          <cell r="B54" t="str">
            <v>PT. Bank Panin Tbk Kcp Nganjuk</v>
          </cell>
          <cell r="C54" t="str">
            <v>Keuangan</v>
          </cell>
          <cell r="D54" t="str">
            <v>JL. A.R Saleh IV, No. 38 RT. 04 RW. 01, Bogo, 64415, Bogo Kidul, Bogo, Kec. Nganjuk, Kabupaten Nganjuk, Jawa Timur</v>
          </cell>
          <cell r="E54" t="str">
            <v>(0358) 3516001</v>
          </cell>
          <cell r="F54">
            <v>10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 t="str">
            <v>MI</v>
          </cell>
        </row>
        <row r="55">
          <cell r="B55" t="str">
            <v>BFI Finance Cbg Nganjuk</v>
          </cell>
          <cell r="C55" t="str">
            <v>Keuangan</v>
          </cell>
          <cell r="D55" t="str">
            <v>Jl. Yos Sudarso No.82, Nganjuk, Ganung Kidul, Kec. Nganjuk, Kabupaten Nganjuk, Jawa Timur </v>
          </cell>
          <cell r="E55" t="str">
            <v>085730869569</v>
          </cell>
          <cell r="F55">
            <v>75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 t="str">
            <v>S</v>
          </cell>
        </row>
        <row r="56">
          <cell r="B56" t="str">
            <v>PT. Cahaya Poles Mulia</v>
          </cell>
          <cell r="C56" t="str">
            <v>Industri</v>
          </cell>
          <cell r="D56" t="str">
            <v>Nganjuk</v>
          </cell>
          <cell r="E56" t="str">
            <v>(0358) 5501925</v>
          </cell>
          <cell r="F56">
            <v>8</v>
          </cell>
          <cell r="G56">
            <v>0</v>
          </cell>
          <cell r="H56">
            <v>6</v>
          </cell>
          <cell r="I56">
            <v>0</v>
          </cell>
          <cell r="J56">
            <v>0</v>
          </cell>
          <cell r="K56">
            <v>0</v>
          </cell>
          <cell r="L56" t="str">
            <v>MI</v>
          </cell>
        </row>
        <row r="57">
          <cell r="B57" t="str">
            <v>PT. Summit Oto Finance</v>
          </cell>
          <cell r="C57" t="str">
            <v>Keuangan</v>
          </cell>
          <cell r="D57" t="str">
            <v>JL Raya Surabaya 10, Nganjuk</v>
          </cell>
          <cell r="E57" t="str">
            <v>(0358) 3516586</v>
          </cell>
          <cell r="F57">
            <v>8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 t="str">
            <v>MI</v>
          </cell>
        </row>
        <row r="58">
          <cell r="B58" t="str">
            <v>PT. Hanjaya Mandala Sampoerna Tbk</v>
          </cell>
          <cell r="C58" t="str">
            <v>Industri</v>
          </cell>
          <cell r="D58" t="str">
            <v>Jl. Sawahan-Berbek, Ledok, Salamrojo, Kec. Berbek, Kabupaten Nganjuk, Jawa Timur</v>
          </cell>
          <cell r="E58">
            <v>0</v>
          </cell>
          <cell r="F58">
            <v>2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 t="str">
            <v>MI</v>
          </cell>
        </row>
        <row r="59">
          <cell r="B59" t="str">
            <v>Telkom Nganjuk</v>
          </cell>
          <cell r="C59" t="str">
            <v>Jasa</v>
          </cell>
          <cell r="D59" t="str">
            <v> Ds. Salamrojo RT. 002 RW. 001 Kec. Berbek Nganjuk</v>
          </cell>
          <cell r="E59" t="str">
            <v>(0358) 326000</v>
          </cell>
          <cell r="F59">
            <v>15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 t="str">
            <v>MI</v>
          </cell>
        </row>
        <row r="60">
          <cell r="B60" t="str">
            <v>KSP Artha Pundhi Mandiri, Bagor</v>
          </cell>
          <cell r="C60" t="str">
            <v>Keuangan</v>
          </cell>
          <cell r="D60" t="str">
            <v>Dan Bandar Alim, Banar, Demangan, Kec. Tanjunganom, Kabupaten Nganjuk, Jawa Timur</v>
          </cell>
          <cell r="E60">
            <v>0</v>
          </cell>
          <cell r="F60">
            <v>12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 t="str">
            <v>K</v>
          </cell>
        </row>
        <row r="61">
          <cell r="B61" t="str">
            <v>PT. Alf Subtin Medika Materna</v>
          </cell>
          <cell r="C61" t="str">
            <v>Perdagangan</v>
          </cell>
          <cell r="D61" t="str">
            <v>Jl. Raya Madiun, Papungan, Kedondong, Kec. Nganjuk, Kabupaten Nganjuk, Jawa Timur</v>
          </cell>
          <cell r="E61">
            <v>0</v>
          </cell>
          <cell r="F61">
            <v>70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 t="str">
            <v>S</v>
          </cell>
        </row>
        <row r="62">
          <cell r="B62" t="str">
            <v>PT. Indomobil Finance Indonesia</v>
          </cell>
          <cell r="C62" t="str">
            <v>Keuangan</v>
          </cell>
          <cell r="D62" t="str">
            <v>JALAN SERSAN HARUN NOMOR 28 Kabupaten Nganjuk, Jawa Timur</v>
          </cell>
          <cell r="E62" t="str">
            <v>(0358) 556466</v>
          </cell>
          <cell r="F62">
            <v>6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 t="str">
            <v>MI</v>
          </cell>
        </row>
        <row r="63">
          <cell r="B63" t="str">
            <v xml:space="preserve">PT. Seger Agro Nusantara </v>
          </cell>
          <cell r="C63" t="str">
            <v>Perdagangan</v>
          </cell>
          <cell r="D63" t="str">
            <v>Mlorah, Rejoso, Kec. Nganjuk, Kabupaten Nganjuk, Jawa Timur </v>
          </cell>
          <cell r="E63" t="str">
            <v>(031) 99001276</v>
          </cell>
          <cell r="F63">
            <v>8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 t="str">
            <v>MI</v>
          </cell>
        </row>
        <row r="64">
          <cell r="B64" t="str">
            <v>PT. Ekoristi Berkarya</v>
          </cell>
          <cell r="C64" t="str">
            <v>Jasa</v>
          </cell>
          <cell r="D64" t="str">
            <v>Desa Sengkut Kecamatan Berbek</v>
          </cell>
          <cell r="E64" t="str">
            <v>(031) 99041124</v>
          </cell>
          <cell r="F64">
            <v>3</v>
          </cell>
          <cell r="G64">
            <v>0</v>
          </cell>
          <cell r="H64">
            <v>3</v>
          </cell>
          <cell r="I64">
            <v>0</v>
          </cell>
          <cell r="J64">
            <v>0</v>
          </cell>
          <cell r="K64">
            <v>0</v>
          </cell>
          <cell r="L64" t="str">
            <v>MI</v>
          </cell>
        </row>
        <row r="65">
          <cell r="B65" t="str">
            <v>PT. Pertamina Retail</v>
          </cell>
          <cell r="C65" t="str">
            <v>Perdagangan</v>
          </cell>
          <cell r="D65" t="str">
            <v>Jl. Surabaya Sukomoro, Templek, Sukomoro, Kec. Sukomoro, Kabupaten Nganjuk, Jawa Timur</v>
          </cell>
          <cell r="E65">
            <v>0</v>
          </cell>
          <cell r="F65">
            <v>46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 t="str">
            <v>M</v>
          </cell>
        </row>
        <row r="66">
          <cell r="B66" t="str">
            <v>PT. Bayu Bagus Bakery</v>
          </cell>
          <cell r="C66" t="str">
            <v>Industri</v>
          </cell>
          <cell r="D66" t="str">
            <v> Jl. Semeru, Beran, Tanjungrejo, Kec. Loceret, Kabupaten Nganjuk, Jawa Timur</v>
          </cell>
          <cell r="E66" t="str">
            <v>082330186808</v>
          </cell>
          <cell r="F66">
            <v>162</v>
          </cell>
          <cell r="G66">
            <v>2</v>
          </cell>
          <cell r="H66">
            <v>162</v>
          </cell>
          <cell r="I66">
            <v>0</v>
          </cell>
          <cell r="J66">
            <v>0</v>
          </cell>
          <cell r="K66">
            <v>0</v>
          </cell>
          <cell r="L66" t="str">
            <v>B</v>
          </cell>
        </row>
        <row r="67">
          <cell r="B67" t="str">
            <v>PT. Mitra Enggal Guna Abadi</v>
          </cell>
          <cell r="C67" t="str">
            <v>Keuangan</v>
          </cell>
          <cell r="D67" t="str">
            <v>Jl. Imam Bonjol No.113, Payaman, Kec. Nganjuk, Kabupaten Nganjuk, Jawa Timur</v>
          </cell>
          <cell r="E67">
            <v>0</v>
          </cell>
          <cell r="F67">
            <v>6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 t="str">
            <v>MI</v>
          </cell>
        </row>
        <row r="68">
          <cell r="B68" t="str">
            <v>Hutama Bangunnusa</v>
          </cell>
          <cell r="C68" t="str">
            <v>Jasa</v>
          </cell>
          <cell r="D68" t="str">
            <v>Ds Cerme RT.03 RW.07 Kec. Pace ; Kabupaten, : Kab. Nganjuk</v>
          </cell>
          <cell r="E68" t="str">
            <v>081316339816</v>
          </cell>
          <cell r="F68">
            <v>200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 t="str">
            <v>B</v>
          </cell>
        </row>
        <row r="69">
          <cell r="B69" t="str">
            <v>PT. BPR Artha Pamenang Warujayeng</v>
          </cell>
          <cell r="C69" t="str">
            <v>Jasa</v>
          </cell>
          <cell r="D69" t="str">
            <v>Gringging</v>
          </cell>
          <cell r="E69" t="str">
            <v>(0358)771751</v>
          </cell>
          <cell r="F69">
            <v>46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 t="str">
            <v>M</v>
          </cell>
        </row>
        <row r="70">
          <cell r="B70" t="str">
            <v>KBPR Artha Kencana</v>
          </cell>
          <cell r="C70" t="str">
            <v>Keuangan</v>
          </cell>
          <cell r="D70" t="str">
            <v>Kertosono</v>
          </cell>
          <cell r="E70" t="str">
            <v>(0358) 3513683</v>
          </cell>
          <cell r="F70">
            <v>8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 t="str">
            <v>MI</v>
          </cell>
        </row>
        <row r="71">
          <cell r="B71" t="str">
            <v>PT. Bank Mayapada International Tbk</v>
          </cell>
          <cell r="C71" t="str">
            <v>Keuangan</v>
          </cell>
          <cell r="D71" t="str">
            <v>Warujayeng</v>
          </cell>
          <cell r="E71">
            <v>0</v>
          </cell>
          <cell r="F71">
            <v>6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 t="str">
            <v>MI</v>
          </cell>
        </row>
        <row r="72">
          <cell r="B72" t="str">
            <v xml:space="preserve">PT. Wahana Ottomitra Multiartha Tbk </v>
          </cell>
          <cell r="C72" t="str">
            <v>Jasa</v>
          </cell>
          <cell r="D72" t="str">
            <v>l. Raya Mastrip I No. 22 RT. 005 RW. 003 Kel. Ganungkidul Kec. Nganjuk</v>
          </cell>
          <cell r="E72" t="str">
            <v>(0358) 329533</v>
          </cell>
          <cell r="F72">
            <v>51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 t="str">
            <v>S</v>
          </cell>
        </row>
        <row r="73">
          <cell r="B73" t="str">
            <v>PT. Campina Ice Cream Industry Tbk</v>
          </cell>
          <cell r="C73" t="str">
            <v>Industri</v>
          </cell>
          <cell r="D73" t="str">
            <v>Mantub, Kramat, Kec. Nganjuk, Kabupaten Nganjuk, Jawa Timur</v>
          </cell>
          <cell r="E73" t="str">
            <v>(0358) 323142</v>
          </cell>
          <cell r="F73">
            <v>16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 t="str">
            <v>K</v>
          </cell>
        </row>
        <row r="74">
          <cell r="B74" t="str">
            <v>PT. Kerta Rajasa Raya</v>
          </cell>
          <cell r="C74" t="str">
            <v>Industri</v>
          </cell>
          <cell r="D74" t="str">
            <v>Jl. Kartini No.1-7, Mangundikaran, Mangun Dikaran, Kec. Nganjuk, Kabupaten Nganjuk, Jawa Timur</v>
          </cell>
          <cell r="E74" t="str">
            <v>(031) 8669966</v>
          </cell>
          <cell r="F74">
            <v>450</v>
          </cell>
          <cell r="G74">
            <v>0</v>
          </cell>
          <cell r="H74">
            <v>359</v>
          </cell>
          <cell r="I74">
            <v>0</v>
          </cell>
          <cell r="J74">
            <v>0</v>
          </cell>
          <cell r="K74">
            <v>0</v>
          </cell>
          <cell r="L74" t="str">
            <v>B</v>
          </cell>
        </row>
        <row r="75">
          <cell r="B75" t="str">
            <v>PT. Sukses Abadi Indonesia</v>
          </cell>
          <cell r="C75" t="str">
            <v>Industri</v>
          </cell>
          <cell r="D75" t="str">
            <v>Ds. Balongpacul Rt.002 Rw.001 Kec. Nganjuk</v>
          </cell>
          <cell r="E75" t="str">
            <v>(0358) 6180052</v>
          </cell>
          <cell r="F75">
            <v>4950</v>
          </cell>
          <cell r="G75">
            <v>0</v>
          </cell>
          <cell r="H75">
            <v>4615</v>
          </cell>
          <cell r="I75">
            <v>19</v>
          </cell>
          <cell r="J75">
            <v>0</v>
          </cell>
          <cell r="K75" t="str">
            <v>√</v>
          </cell>
          <cell r="L75" t="str">
            <v>B</v>
          </cell>
        </row>
        <row r="76">
          <cell r="B76" t="str">
            <v>Toko Mega Elektronik &amp; Handphone</v>
          </cell>
          <cell r="C76" t="str">
            <v>Perdagangan</v>
          </cell>
          <cell r="D76" t="str">
            <v>Sumengko, Kec. Sukomoro, Kabupaten Nganjuk, Jawa Timur</v>
          </cell>
          <cell r="E76" t="str">
            <v>08123515878</v>
          </cell>
          <cell r="F76">
            <v>71</v>
          </cell>
          <cell r="G76">
            <v>0</v>
          </cell>
          <cell r="H76">
            <v>71</v>
          </cell>
          <cell r="I76">
            <v>0</v>
          </cell>
          <cell r="J76">
            <v>0</v>
          </cell>
          <cell r="K76">
            <v>0</v>
          </cell>
          <cell r="L76" t="str">
            <v>S</v>
          </cell>
        </row>
        <row r="77">
          <cell r="B77" t="str">
            <v>CV. Harapan Kita</v>
          </cell>
          <cell r="C77" t="str">
            <v>Perdagangan</v>
          </cell>
          <cell r="D77" t="str">
            <v>Dkh. Kalen RT.005 RW. 001 Ds. Balongrejo Kec. Berbek kabupaten Kab. Nganjuk</v>
          </cell>
          <cell r="E77" t="str">
            <v>081358618249</v>
          </cell>
          <cell r="F77">
            <v>5</v>
          </cell>
          <cell r="G77">
            <v>0</v>
          </cell>
          <cell r="H77">
            <v>5</v>
          </cell>
          <cell r="I77">
            <v>0</v>
          </cell>
          <cell r="J77">
            <v>0</v>
          </cell>
          <cell r="K77">
            <v>0</v>
          </cell>
          <cell r="L77" t="str">
            <v>MI</v>
          </cell>
        </row>
        <row r="78">
          <cell r="B78" t="str">
            <v>Agny Cell</v>
          </cell>
          <cell r="C78" t="str">
            <v>Perdagangan</v>
          </cell>
          <cell r="D78" t="str">
            <v>Payaman, Kec. Nganjuk, Kabupaten Nganjuk, Jawa Timur</v>
          </cell>
          <cell r="E78" t="str">
            <v>082234463555</v>
          </cell>
          <cell r="F78">
            <v>7</v>
          </cell>
          <cell r="G78">
            <v>0</v>
          </cell>
          <cell r="H78">
            <v>6</v>
          </cell>
          <cell r="I78">
            <v>2</v>
          </cell>
          <cell r="J78">
            <v>0</v>
          </cell>
          <cell r="K78">
            <v>0</v>
          </cell>
          <cell r="L78" t="str">
            <v>MI</v>
          </cell>
        </row>
        <row r="79">
          <cell r="B79" t="str">
            <v>CV Amartha</v>
          </cell>
          <cell r="C79" t="str">
            <v>Perdagangan</v>
          </cell>
          <cell r="D79" t="str">
            <v>Jl Raya Kediri, 22, Loceret, Kec. Nganjuk</v>
          </cell>
          <cell r="E79">
            <v>0</v>
          </cell>
          <cell r="F79">
            <v>2</v>
          </cell>
          <cell r="G79">
            <v>0</v>
          </cell>
          <cell r="H79">
            <v>2</v>
          </cell>
          <cell r="I79">
            <v>0</v>
          </cell>
          <cell r="J79">
            <v>0</v>
          </cell>
          <cell r="K79">
            <v>0</v>
          </cell>
          <cell r="L79" t="str">
            <v>MI</v>
          </cell>
        </row>
        <row r="80">
          <cell r="B80" t="str">
            <v>Apotek Al Hudan</v>
          </cell>
          <cell r="C80" t="str">
            <v>Perdagangan</v>
          </cell>
          <cell r="D80" t="str">
            <v>Besuk, Sukorejo, Kec. Loceret, Kabupaten Nganjuk, Jawa Timur</v>
          </cell>
          <cell r="E80">
            <v>0</v>
          </cell>
          <cell r="F80">
            <v>2</v>
          </cell>
          <cell r="G80">
            <v>0</v>
          </cell>
          <cell r="H80">
            <v>2</v>
          </cell>
          <cell r="I80">
            <v>0</v>
          </cell>
          <cell r="J80">
            <v>0</v>
          </cell>
          <cell r="K80">
            <v>0</v>
          </cell>
          <cell r="L80" t="str">
            <v>MI</v>
          </cell>
        </row>
        <row r="81">
          <cell r="B81" t="str">
            <v>Apotek Anjuk Ladang</v>
          </cell>
          <cell r="C81" t="str">
            <v>Perdagangan</v>
          </cell>
          <cell r="D81" t="str">
            <v>Jalan Anjuk Ladang, Loceret, Candirejo, Loceret, Kabupaten Nganjuk, Jawa Timur</v>
          </cell>
          <cell r="E81" t="str">
            <v>(0358) 329845</v>
          </cell>
          <cell r="F81">
            <v>8</v>
          </cell>
          <cell r="G81">
            <v>0</v>
          </cell>
          <cell r="H81">
            <v>7</v>
          </cell>
          <cell r="I81">
            <v>0</v>
          </cell>
          <cell r="J81">
            <v>0</v>
          </cell>
          <cell r="K81">
            <v>0</v>
          </cell>
          <cell r="L81" t="str">
            <v>MI</v>
          </cell>
        </row>
        <row r="82">
          <cell r="B82" t="str">
            <v>Apotek Bagor Farma</v>
          </cell>
          <cell r="C82" t="str">
            <v>Perdagangan</v>
          </cell>
          <cell r="D82" t="str">
            <v>Jl. Raya Nganjuk, Glotan, Kedungrejo, Kec. Tanjunganom, Kabupaten Nganjuk, Jawa Timur</v>
          </cell>
          <cell r="E82">
            <v>0</v>
          </cell>
          <cell r="F82">
            <v>2</v>
          </cell>
          <cell r="G82">
            <v>0</v>
          </cell>
          <cell r="H82">
            <v>2</v>
          </cell>
          <cell r="I82">
            <v>0</v>
          </cell>
          <cell r="J82">
            <v>0</v>
          </cell>
          <cell r="K82">
            <v>0</v>
          </cell>
          <cell r="L82" t="str">
            <v>MI</v>
          </cell>
        </row>
        <row r="83">
          <cell r="B83" t="str">
            <v>Apotek Daniel</v>
          </cell>
          <cell r="C83" t="str">
            <v>Perdagangan</v>
          </cell>
          <cell r="D83" t="str">
            <v>Kertosono</v>
          </cell>
          <cell r="E83">
            <v>0</v>
          </cell>
          <cell r="F83">
            <v>2</v>
          </cell>
          <cell r="G83">
            <v>0</v>
          </cell>
          <cell r="H83">
            <v>2</v>
          </cell>
          <cell r="I83">
            <v>0</v>
          </cell>
          <cell r="J83">
            <v>0</v>
          </cell>
          <cell r="K83">
            <v>0</v>
          </cell>
          <cell r="L83" t="str">
            <v>MI</v>
          </cell>
        </row>
        <row r="84">
          <cell r="B84" t="str">
            <v>Apotek Gading Farma</v>
          </cell>
          <cell r="C84" t="str">
            <v>Perdagangan</v>
          </cell>
          <cell r="D84" t="str">
            <v>Nganjuk</v>
          </cell>
          <cell r="E84">
            <v>0</v>
          </cell>
          <cell r="F84">
            <v>2</v>
          </cell>
          <cell r="G84">
            <v>0</v>
          </cell>
          <cell r="H84">
            <v>2</v>
          </cell>
          <cell r="I84">
            <v>0</v>
          </cell>
          <cell r="J84">
            <v>0</v>
          </cell>
          <cell r="K84">
            <v>0</v>
          </cell>
          <cell r="L84" t="str">
            <v>MI</v>
          </cell>
        </row>
        <row r="85">
          <cell r="B85" t="str">
            <v>Apotek Guyangan Farma</v>
          </cell>
          <cell r="C85" t="str">
            <v>Perdagangan</v>
          </cell>
          <cell r="D85" t="str">
            <v>Jl. Dieng 1, RT.03/RW.04, Kramat, Kec. Nganjuk, Kabupaten Nganjuk, Jawa Timur</v>
          </cell>
          <cell r="E85">
            <v>0</v>
          </cell>
          <cell r="F85">
            <v>2</v>
          </cell>
          <cell r="G85">
            <v>0</v>
          </cell>
          <cell r="H85">
            <v>3</v>
          </cell>
          <cell r="I85">
            <v>0</v>
          </cell>
          <cell r="J85">
            <v>0</v>
          </cell>
          <cell r="K85">
            <v>0</v>
          </cell>
          <cell r="L85" t="str">
            <v>MI</v>
          </cell>
        </row>
        <row r="86">
          <cell r="B86" t="str">
            <v>Apotek Madha Farma</v>
          </cell>
          <cell r="C86" t="str">
            <v>Perdagangan</v>
          </cell>
          <cell r="D86" t="str">
            <v>Nganjuk</v>
          </cell>
          <cell r="E86">
            <v>0</v>
          </cell>
          <cell r="F86">
            <v>2</v>
          </cell>
          <cell r="G86">
            <v>0</v>
          </cell>
          <cell r="H86">
            <v>2</v>
          </cell>
          <cell r="I86">
            <v>0</v>
          </cell>
          <cell r="J86">
            <v>0</v>
          </cell>
          <cell r="K86">
            <v>0</v>
          </cell>
          <cell r="L86" t="str">
            <v>MI</v>
          </cell>
        </row>
        <row r="87">
          <cell r="B87" t="str">
            <v>Apotek Sedudo</v>
          </cell>
          <cell r="C87" t="str">
            <v>Perdagangan</v>
          </cell>
          <cell r="D87" t="str">
            <v>Jl. Raya Ds. Loceret Kec. Loceret Kab. Nganjuk</v>
          </cell>
          <cell r="E87">
            <v>0</v>
          </cell>
          <cell r="F87">
            <v>7</v>
          </cell>
          <cell r="G87">
            <v>0</v>
          </cell>
          <cell r="H87">
            <v>7</v>
          </cell>
          <cell r="I87">
            <v>1</v>
          </cell>
          <cell r="J87">
            <v>0</v>
          </cell>
          <cell r="K87">
            <v>0</v>
          </cell>
          <cell r="L87" t="str">
            <v>MI</v>
          </cell>
        </row>
        <row r="88">
          <cell r="B88" t="str">
            <v>Apotek Thole Farma</v>
          </cell>
          <cell r="C88" t="str">
            <v>Perdagangan</v>
          </cell>
          <cell r="D88" t="str">
            <v>Jl. Raya Desa Kepuh Kec. Kertosono Kab. Nganjuk</v>
          </cell>
          <cell r="E88">
            <v>0</v>
          </cell>
          <cell r="F88">
            <v>2</v>
          </cell>
          <cell r="G88">
            <v>0</v>
          </cell>
          <cell r="H88">
            <v>2</v>
          </cell>
          <cell r="I88">
            <v>0</v>
          </cell>
          <cell r="J88">
            <v>0</v>
          </cell>
          <cell r="K88">
            <v>0</v>
          </cell>
          <cell r="L88" t="str">
            <v>MI</v>
          </cell>
        </row>
        <row r="89">
          <cell r="B89" t="str">
            <v>Apotek Agi Sehat</v>
          </cell>
          <cell r="C89" t="str">
            <v>Perdagangan</v>
          </cell>
          <cell r="D89" t="str">
            <v>Ds. Banaran Kec. Kertosono Kab. Nganjuk</v>
          </cell>
          <cell r="E89">
            <v>0</v>
          </cell>
          <cell r="F89">
            <v>2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 t="str">
            <v>MI</v>
          </cell>
        </row>
        <row r="90">
          <cell r="B90" t="str">
            <v>Apotek Nganjuk</v>
          </cell>
          <cell r="C90" t="str">
            <v>Perdagangan</v>
          </cell>
          <cell r="D90" t="str">
            <v>Jl. Supriadi No.48, Banaran, Kudu, Kec. Kertosono, Kabupaten Nganjuk, Jawa Timur </v>
          </cell>
          <cell r="E90">
            <v>0</v>
          </cell>
          <cell r="F90">
            <v>5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 t="str">
            <v>MI</v>
          </cell>
        </row>
        <row r="91">
          <cell r="B91" t="str">
            <v>Apotek Sejahtera</v>
          </cell>
          <cell r="C91" t="str">
            <v>Perdagangan</v>
          </cell>
          <cell r="D91" t="str">
            <v>Ds. Kedungsoko Kec. Sukomoro Kab. Nganjuk</v>
          </cell>
          <cell r="E91" t="str">
            <v>081331985980</v>
          </cell>
          <cell r="F91">
            <v>7</v>
          </cell>
          <cell r="G91">
            <v>0</v>
          </cell>
          <cell r="H91">
            <v>6</v>
          </cell>
          <cell r="I91">
            <v>0</v>
          </cell>
          <cell r="J91">
            <v>0</v>
          </cell>
          <cell r="K91">
            <v>0</v>
          </cell>
          <cell r="L91" t="str">
            <v>MI</v>
          </cell>
        </row>
        <row r="92">
          <cell r="B92" t="str">
            <v>Artha Wijaya Ksu Nganjuk</v>
          </cell>
          <cell r="C92" t="str">
            <v>Perdagangan</v>
          </cell>
          <cell r="D92" t="str">
            <v>Nganjuk</v>
          </cell>
          <cell r="E92">
            <v>0</v>
          </cell>
          <cell r="F92">
            <v>7</v>
          </cell>
          <cell r="G92">
            <v>0</v>
          </cell>
          <cell r="H92">
            <v>2</v>
          </cell>
          <cell r="I92">
            <v>0</v>
          </cell>
          <cell r="J92">
            <v>0</v>
          </cell>
          <cell r="K92">
            <v>0</v>
          </cell>
          <cell r="L92" t="str">
            <v>MI</v>
          </cell>
        </row>
        <row r="93">
          <cell r="B93" t="str">
            <v>CV Arto Moro</v>
          </cell>
          <cell r="C93" t="str">
            <v>Perdagangan</v>
          </cell>
          <cell r="D93" t="str">
            <v>Kauman, Nganjuk</v>
          </cell>
          <cell r="E93">
            <v>0</v>
          </cell>
          <cell r="F93">
            <v>1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 t="str">
            <v>MI</v>
          </cell>
        </row>
        <row r="94">
          <cell r="B94" t="str">
            <v>KSP Bhina Raharja</v>
          </cell>
          <cell r="C94" t="str">
            <v>Keuangan</v>
          </cell>
          <cell r="D94" t="str">
            <v>Jl. Baron Timur , No. 255 Rt.01 Rw.01 Nganjuk</v>
          </cell>
          <cell r="E94" t="str">
            <v>(0295) 693777</v>
          </cell>
          <cell r="F94">
            <v>10</v>
          </cell>
          <cell r="G94">
            <v>0</v>
          </cell>
          <cell r="H94">
            <v>9</v>
          </cell>
          <cell r="I94">
            <v>0</v>
          </cell>
          <cell r="J94">
            <v>0</v>
          </cell>
          <cell r="K94">
            <v>0</v>
          </cell>
          <cell r="L94" t="str">
            <v>MI</v>
          </cell>
        </row>
        <row r="95">
          <cell r="B95" t="str">
            <v>Dan Cell</v>
          </cell>
          <cell r="C95" t="str">
            <v>Perdagangan</v>
          </cell>
          <cell r="D95" t="str">
            <v>Jln. Ahmad Yani 201, Lingkungan Pelem RT/RW:002/001, Warujayeng, Kec. Tanjunganom, Kabupaten Nganjuk, Jawa Timur</v>
          </cell>
          <cell r="E95" t="str">
            <v>082233627565</v>
          </cell>
          <cell r="F95">
            <v>27</v>
          </cell>
          <cell r="G95">
            <v>0</v>
          </cell>
          <cell r="H95">
            <v>25</v>
          </cell>
          <cell r="I95">
            <v>0</v>
          </cell>
          <cell r="J95">
            <v>0</v>
          </cell>
          <cell r="K95">
            <v>0</v>
          </cell>
          <cell r="L95" t="str">
            <v>M</v>
          </cell>
        </row>
        <row r="96">
          <cell r="B96" t="str">
            <v>Diva Mart</v>
          </cell>
          <cell r="C96" t="str">
            <v>Perdagangan</v>
          </cell>
          <cell r="D96" t="str">
            <v>Nganjuk</v>
          </cell>
          <cell r="E96" t="str">
            <v>(0358) 330345</v>
          </cell>
          <cell r="F96">
            <v>16</v>
          </cell>
          <cell r="G96">
            <v>0</v>
          </cell>
          <cell r="H96">
            <v>25</v>
          </cell>
          <cell r="I96">
            <v>0</v>
          </cell>
          <cell r="J96">
            <v>0</v>
          </cell>
          <cell r="K96">
            <v>0</v>
          </cell>
          <cell r="L96" t="str">
            <v>K</v>
          </cell>
        </row>
        <row r="97">
          <cell r="B97" t="str">
            <v xml:space="preserve">SPBU Dwi Yoga Respati 54.644.23 </v>
          </cell>
          <cell r="C97" t="str">
            <v>Perdagangan</v>
          </cell>
          <cell r="D97" t="str">
            <v>Nganjuk</v>
          </cell>
          <cell r="E97" t="str">
            <v>082226221946</v>
          </cell>
          <cell r="F97">
            <v>9</v>
          </cell>
          <cell r="G97">
            <v>0</v>
          </cell>
          <cell r="H97">
            <v>9</v>
          </cell>
          <cell r="I97">
            <v>0</v>
          </cell>
          <cell r="J97">
            <v>0</v>
          </cell>
          <cell r="K97">
            <v>0</v>
          </cell>
          <cell r="L97" t="str">
            <v>MI</v>
          </cell>
        </row>
        <row r="98">
          <cell r="B98" t="str">
            <v>SPBU 54.644.05 UD Joko Kamsari</v>
          </cell>
          <cell r="C98" t="str">
            <v>Perdagangan</v>
          </cell>
          <cell r="D98" t="str">
            <v>Jl. Warujayeng - Nganjuk, Jegles, Plosoharjo, Kec. Pace, Kabupaten Nganjuk, Jawa Timur</v>
          </cell>
          <cell r="E98" t="str">
            <v>(0358) 322077</v>
          </cell>
          <cell r="F98">
            <v>27</v>
          </cell>
          <cell r="G98">
            <v>0</v>
          </cell>
          <cell r="H98">
            <v>25</v>
          </cell>
          <cell r="I98">
            <v>0</v>
          </cell>
          <cell r="J98">
            <v>0</v>
          </cell>
          <cell r="K98">
            <v>0</v>
          </cell>
          <cell r="L98" t="str">
            <v>M</v>
          </cell>
        </row>
        <row r="99">
          <cell r="B99" t="str">
            <v>KSP Kharisma</v>
          </cell>
          <cell r="C99" t="str">
            <v>Keuangan</v>
          </cell>
          <cell r="D99" t="str">
            <v>Nganjuk</v>
          </cell>
          <cell r="E99" t="str">
            <v>085762297481</v>
          </cell>
          <cell r="F99">
            <v>26</v>
          </cell>
          <cell r="G99">
            <v>0</v>
          </cell>
          <cell r="H99">
            <v>26</v>
          </cell>
          <cell r="I99">
            <v>0</v>
          </cell>
          <cell r="J99">
            <v>0</v>
          </cell>
          <cell r="K99">
            <v>0</v>
          </cell>
          <cell r="L99" t="str">
            <v>M</v>
          </cell>
        </row>
        <row r="100">
          <cell r="B100" t="str">
            <v>Koperasi Jaya Makmur</v>
          </cell>
          <cell r="C100" t="str">
            <v>Keuangan</v>
          </cell>
          <cell r="D100" t="str">
            <v>Nganjuk</v>
          </cell>
          <cell r="E100">
            <v>0</v>
          </cell>
          <cell r="F100">
            <v>2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 t="str">
            <v>MI</v>
          </cell>
        </row>
        <row r="101">
          <cell r="B101" t="str">
            <v>Koperasi Konsumen Tunas Mulia Jatim</v>
          </cell>
          <cell r="C101" t="str">
            <v>Keuangan</v>
          </cell>
          <cell r="D101" t="str">
            <v>Nganjuk</v>
          </cell>
          <cell r="E101">
            <v>0</v>
          </cell>
          <cell r="F101">
            <v>11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 t="str">
            <v>K</v>
          </cell>
        </row>
        <row r="102">
          <cell r="B102" t="str">
            <v>Kopwan Amanah</v>
          </cell>
          <cell r="C102" t="str">
            <v>Keuangan</v>
          </cell>
          <cell r="D102" t="str">
            <v>JL.PANGLIMA SUDIRMAN NO.142 Kabupaten Nganjuk</v>
          </cell>
          <cell r="E102">
            <v>0</v>
          </cell>
          <cell r="F102">
            <v>11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 t="str">
            <v>K</v>
          </cell>
        </row>
        <row r="103">
          <cell r="B103" t="str">
            <v>Kopwan Melati Kec Sukomoro</v>
          </cell>
          <cell r="C103" t="str">
            <v>Keuangan</v>
          </cell>
          <cell r="D103" t="str">
            <v>Kertosono, Jawa Timur</v>
          </cell>
          <cell r="E103">
            <v>0</v>
          </cell>
          <cell r="F103">
            <v>5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 t="str">
            <v>MI</v>
          </cell>
        </row>
        <row r="104">
          <cell r="B104" t="str">
            <v>Kopwan Melati Kec. Prambon</v>
          </cell>
          <cell r="C104" t="str">
            <v>Keuangan</v>
          </cell>
          <cell r="D104" t="str">
            <v>Kec. Prambon</v>
          </cell>
          <cell r="E104">
            <v>0</v>
          </cell>
          <cell r="F104">
            <v>4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 t="str">
            <v>MI</v>
          </cell>
        </row>
        <row r="105">
          <cell r="B105" t="str">
            <v>KSP Arto Makmur Jaya</v>
          </cell>
          <cell r="C105" t="str">
            <v>Keuangan</v>
          </cell>
          <cell r="D105" t="str">
            <v>Jl. A. Yani No.147, Pule, Tanjunganom, Kec. Tanjunganom, Kabupaten Nganjuk</v>
          </cell>
          <cell r="E105" t="str">
            <v>(0358) 773661</v>
          </cell>
          <cell r="F105">
            <v>11</v>
          </cell>
          <cell r="G105">
            <v>0</v>
          </cell>
          <cell r="H105">
            <v>8</v>
          </cell>
          <cell r="I105">
            <v>0</v>
          </cell>
          <cell r="J105">
            <v>0</v>
          </cell>
          <cell r="K105">
            <v>0</v>
          </cell>
          <cell r="L105" t="str">
            <v>K</v>
          </cell>
        </row>
        <row r="106">
          <cell r="B106" t="str">
            <v>KSP Citra Mandiri Abadi</v>
          </cell>
          <cell r="C106" t="str">
            <v>Keuangan</v>
          </cell>
          <cell r="D106" t="str">
            <v>Jl. Bojonegoro No.25, Rejoso, Talang, Kec. Rejoso, Kabupaten Nganjuk, Jawa Timur</v>
          </cell>
          <cell r="E106">
            <v>0</v>
          </cell>
          <cell r="F106">
            <v>10</v>
          </cell>
          <cell r="G106">
            <v>0</v>
          </cell>
          <cell r="H106">
            <v>6</v>
          </cell>
          <cell r="I106">
            <v>0</v>
          </cell>
          <cell r="J106">
            <v>0</v>
          </cell>
          <cell r="K106">
            <v>0</v>
          </cell>
          <cell r="L106" t="str">
            <v>MI</v>
          </cell>
        </row>
        <row r="107">
          <cell r="B107" t="str">
            <v>KSP Delta Surya Purnama</v>
          </cell>
          <cell r="C107" t="str">
            <v>Keuangan</v>
          </cell>
          <cell r="D107" t="str">
            <v>Jl. Merdeka Tim. No.51, Hutan, Lengkong, Kabupaten Nganjuk</v>
          </cell>
          <cell r="E107" t="str">
            <v>(0358) 553536</v>
          </cell>
          <cell r="F107">
            <v>41</v>
          </cell>
          <cell r="G107">
            <v>0</v>
          </cell>
          <cell r="H107">
            <v>45</v>
          </cell>
          <cell r="I107">
            <v>0</v>
          </cell>
          <cell r="J107">
            <v>0</v>
          </cell>
          <cell r="K107">
            <v>0</v>
          </cell>
          <cell r="L107" t="str">
            <v>M</v>
          </cell>
        </row>
        <row r="108">
          <cell r="B108" t="str">
            <v>KSP Delta Surya Purnama Kertosono</v>
          </cell>
          <cell r="C108" t="str">
            <v>Keuangan</v>
          </cell>
          <cell r="D108" t="str">
            <v>Jl. Wr. Supratman, 7 Kertosono Nganjuk</v>
          </cell>
          <cell r="E108">
            <v>0</v>
          </cell>
          <cell r="F108">
            <v>21</v>
          </cell>
          <cell r="G108">
            <v>0</v>
          </cell>
          <cell r="H108">
            <v>21</v>
          </cell>
          <cell r="I108">
            <v>0</v>
          </cell>
          <cell r="J108">
            <v>0</v>
          </cell>
          <cell r="K108">
            <v>0</v>
          </cell>
          <cell r="L108" t="str">
            <v>K</v>
          </cell>
        </row>
        <row r="109">
          <cell r="B109" t="str">
            <v>KSP Graha Arthamas</v>
          </cell>
          <cell r="C109" t="str">
            <v>Keuangan</v>
          </cell>
          <cell r="D109" t="str">
            <v>Jl. Anjuk Ladang No. 30, Bedingin, Sukorejo, Kec. Loceret, Kab. Nganjuk</v>
          </cell>
          <cell r="E109" t="str">
            <v>(0358) 330087</v>
          </cell>
          <cell r="F109">
            <v>5</v>
          </cell>
          <cell r="G109">
            <v>0</v>
          </cell>
          <cell r="H109">
            <v>5</v>
          </cell>
          <cell r="I109">
            <v>0</v>
          </cell>
          <cell r="J109">
            <v>0</v>
          </cell>
          <cell r="K109">
            <v>0</v>
          </cell>
          <cell r="L109" t="str">
            <v>MI</v>
          </cell>
        </row>
        <row r="110">
          <cell r="B110" t="str">
            <v xml:space="preserve">KSP Karya Agung Jawa Timur Cabang Nganjuk </v>
          </cell>
          <cell r="C110" t="str">
            <v>Keuangan</v>
          </cell>
          <cell r="D110" t="str">
            <v>Jl. Tamanan No.65, Guyangan, Kec. Bagor, Kabupaten Nganjuk</v>
          </cell>
          <cell r="E110">
            <v>0</v>
          </cell>
          <cell r="F110">
            <v>7</v>
          </cell>
          <cell r="G110">
            <v>0</v>
          </cell>
          <cell r="H110">
            <v>6</v>
          </cell>
          <cell r="I110">
            <v>0</v>
          </cell>
          <cell r="J110">
            <v>0</v>
          </cell>
          <cell r="K110">
            <v>0</v>
          </cell>
          <cell r="L110" t="str">
            <v>MI</v>
          </cell>
        </row>
        <row r="111">
          <cell r="B111" t="str">
            <v>KSP Mega Dana Sejahtera</v>
          </cell>
          <cell r="C111" t="str">
            <v>Keuangan</v>
          </cell>
          <cell r="D111" t="str">
            <v>JL. A.R Saleh IV, No. 38 RT. 04 RW. 01, Bogo, 64415, Bogo Kidul, Bogo, Kec. Nganjuk, Kabupaten Nganjuk, Jawa Timur</v>
          </cell>
          <cell r="E111">
            <v>0</v>
          </cell>
          <cell r="F111">
            <v>8</v>
          </cell>
          <cell r="G111">
            <v>0</v>
          </cell>
          <cell r="H111">
            <v>8</v>
          </cell>
          <cell r="I111">
            <v>0</v>
          </cell>
          <cell r="J111">
            <v>0</v>
          </cell>
          <cell r="K111">
            <v>0</v>
          </cell>
          <cell r="L111" t="str">
            <v>MI</v>
          </cell>
        </row>
        <row r="112">
          <cell r="B112" t="str">
            <v>KSP Niaga Jaya Abadi</v>
          </cell>
          <cell r="C112" t="str">
            <v>Keuangan</v>
          </cell>
          <cell r="D112" t="str">
            <v>Jl. Ahmad Yani No.318, Ploso, Kec. Nganjuk, Kabupaten Nganjuk</v>
          </cell>
          <cell r="E112" t="str">
            <v>(0358) 321318</v>
          </cell>
          <cell r="F112">
            <v>4</v>
          </cell>
          <cell r="G112">
            <v>0</v>
          </cell>
          <cell r="H112">
            <v>3</v>
          </cell>
          <cell r="I112">
            <v>0</v>
          </cell>
          <cell r="J112">
            <v>0</v>
          </cell>
          <cell r="K112">
            <v>0</v>
          </cell>
          <cell r="L112" t="str">
            <v>MI</v>
          </cell>
        </row>
        <row r="113">
          <cell r="B113" t="str">
            <v>KSP Nirwana Artha</v>
          </cell>
          <cell r="C113" t="str">
            <v>Keuangan</v>
          </cell>
          <cell r="D113" t="str">
            <v>Jl. Ahmad Yani No.16, Kauman, Kec. Nganjuk, Kabupaten Nganjuk</v>
          </cell>
          <cell r="E113" t="str">
            <v>(0358) 321142</v>
          </cell>
          <cell r="F113">
            <v>3</v>
          </cell>
          <cell r="G113">
            <v>0</v>
          </cell>
          <cell r="H113">
            <v>3</v>
          </cell>
          <cell r="I113">
            <v>0</v>
          </cell>
          <cell r="J113">
            <v>0</v>
          </cell>
          <cell r="K113">
            <v>0</v>
          </cell>
          <cell r="L113" t="str">
            <v>MI</v>
          </cell>
        </row>
        <row r="114">
          <cell r="B114" t="str">
            <v>KSP Sri Rejeki</v>
          </cell>
          <cell r="C114" t="str">
            <v>Keuangan</v>
          </cell>
          <cell r="D114" t="str">
            <v>Jl. Yos Sudarso No.82, Nganjuk, Ganung Kidul, Kec. Nganjuk, Kabupaten Nganjuk, Jawa Timur </v>
          </cell>
          <cell r="E114">
            <v>0</v>
          </cell>
          <cell r="F114">
            <v>9</v>
          </cell>
          <cell r="G114">
            <v>0</v>
          </cell>
          <cell r="H114">
            <v>8</v>
          </cell>
          <cell r="I114">
            <v>0</v>
          </cell>
          <cell r="J114">
            <v>0</v>
          </cell>
          <cell r="K114">
            <v>0</v>
          </cell>
          <cell r="L114" t="str">
            <v>MI</v>
          </cell>
        </row>
        <row r="115">
          <cell r="B115" t="str">
            <v>KSP Tunas Artha Jaya</v>
          </cell>
          <cell r="C115" t="str">
            <v>Keuangan</v>
          </cell>
          <cell r="D115" t="str">
            <v>Nganjuk</v>
          </cell>
          <cell r="E115">
            <v>0</v>
          </cell>
          <cell r="F115">
            <v>12</v>
          </cell>
          <cell r="G115">
            <v>0</v>
          </cell>
          <cell r="H115">
            <v>12</v>
          </cell>
          <cell r="I115">
            <v>0</v>
          </cell>
          <cell r="J115">
            <v>0</v>
          </cell>
          <cell r="K115">
            <v>0</v>
          </cell>
          <cell r="L115" t="str">
            <v>MI</v>
          </cell>
        </row>
        <row r="116">
          <cell r="B116" t="str">
            <v xml:space="preserve">Spbu 5464403 Kusumo Bagus Mandiri </v>
          </cell>
          <cell r="C116" t="str">
            <v>Keuangan</v>
          </cell>
          <cell r="D116" t="str">
            <v>Jl. Surabaya Sukomoro, Mangundikaran,  Kec. Nganjuk, Kab. Nganjuk</v>
          </cell>
          <cell r="E116" t="str">
            <v>082234426587</v>
          </cell>
          <cell r="F116">
            <v>13</v>
          </cell>
          <cell r="G116">
            <v>0</v>
          </cell>
          <cell r="H116">
            <v>12</v>
          </cell>
          <cell r="I116">
            <v>0</v>
          </cell>
          <cell r="J116">
            <v>0</v>
          </cell>
          <cell r="K116">
            <v>0</v>
          </cell>
          <cell r="L116" t="str">
            <v>K</v>
          </cell>
        </row>
        <row r="117">
          <cell r="B117" t="str">
            <v>KSP Lancar Mitra Artama</v>
          </cell>
          <cell r="C117" t="str">
            <v>Keuangan</v>
          </cell>
          <cell r="D117" t="str">
            <v>Jl. Dr. Sutomo No.63, Payaman, Kec. Nganjuk, Kabupaten Nganjuk</v>
          </cell>
          <cell r="E117" t="str">
            <v>082338681333</v>
          </cell>
          <cell r="F117">
            <v>6</v>
          </cell>
          <cell r="G117">
            <v>0</v>
          </cell>
          <cell r="H117">
            <v>6</v>
          </cell>
          <cell r="I117">
            <v>0</v>
          </cell>
          <cell r="J117">
            <v>0</v>
          </cell>
          <cell r="K117">
            <v>0</v>
          </cell>
          <cell r="L117" t="str">
            <v>MI</v>
          </cell>
        </row>
        <row r="118">
          <cell r="B118" t="str">
            <v>KSP Mega Artha Sejahtera Nganjuk</v>
          </cell>
          <cell r="C118" t="str">
            <v>Keuangan</v>
          </cell>
          <cell r="D118" t="str">
            <v>JL. A.R Saleh IV, No. 38 RT. 04 RW. 01, Bogo, Kec. Nganjuk, Kab. Nganjuk</v>
          </cell>
          <cell r="E118" t="str">
            <v>085259255363</v>
          </cell>
          <cell r="F118">
            <v>6</v>
          </cell>
          <cell r="G118">
            <v>0</v>
          </cell>
          <cell r="H118">
            <v>7</v>
          </cell>
          <cell r="I118">
            <v>0</v>
          </cell>
          <cell r="J118">
            <v>0</v>
          </cell>
          <cell r="K118">
            <v>0</v>
          </cell>
          <cell r="L118" t="str">
            <v>MI</v>
          </cell>
        </row>
        <row r="119">
          <cell r="B119" t="str">
            <v xml:space="preserve">KSP Mitra Artha Niaga </v>
          </cell>
          <cell r="C119" t="str">
            <v>Keuangan</v>
          </cell>
          <cell r="D119" t="str">
            <v>Gondang Kulon, Gondangkulon, Kec. Gondang, Kabupaten Nganjuk</v>
          </cell>
          <cell r="E119" t="str">
            <v>085816549050</v>
          </cell>
          <cell r="F119">
            <v>8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 t="str">
            <v>MI</v>
          </cell>
        </row>
        <row r="120">
          <cell r="B120" t="str">
            <v>Pangestu (Grand Olympic Nganjuk)</v>
          </cell>
          <cell r="C120" t="str">
            <v>Perdagangan</v>
          </cell>
          <cell r="D120" t="str">
            <v>Jl. Panglima Sudirman No.239, Mangundikaran, Kec. Nganjuk, Kab. Nganjuk</v>
          </cell>
          <cell r="E120">
            <v>0</v>
          </cell>
          <cell r="F120">
            <v>10</v>
          </cell>
          <cell r="G120">
            <v>0</v>
          </cell>
          <cell r="H120">
            <v>6</v>
          </cell>
          <cell r="I120">
            <v>0</v>
          </cell>
          <cell r="J120">
            <v>0</v>
          </cell>
          <cell r="K120">
            <v>0</v>
          </cell>
          <cell r="L120" t="str">
            <v>K</v>
          </cell>
        </row>
        <row r="121">
          <cell r="B121" t="str">
            <v xml:space="preserve">Apotek Panggung Farma </v>
          </cell>
          <cell r="C121" t="str">
            <v>Perdagangan</v>
          </cell>
          <cell r="D121" t="str">
            <v>Jl. Ahmad Yani No.2, Mangundikaran, Kec. Nganjuk, Kab. Nganjuk</v>
          </cell>
          <cell r="E121" t="str">
            <v>(0358) 321143</v>
          </cell>
          <cell r="F121">
            <v>28</v>
          </cell>
          <cell r="G121">
            <v>0</v>
          </cell>
          <cell r="H121">
            <v>28</v>
          </cell>
          <cell r="I121">
            <v>0</v>
          </cell>
          <cell r="J121">
            <v>0</v>
          </cell>
          <cell r="K121">
            <v>0</v>
          </cell>
          <cell r="L121" t="str">
            <v>MI</v>
          </cell>
        </row>
        <row r="122">
          <cell r="B122" t="str">
            <v>PDAM Nganjuk</v>
          </cell>
          <cell r="C122" t="str">
            <v>Industri</v>
          </cell>
          <cell r="D122" t="str">
            <v>Jl. Dermojoyo No.65, Payaman, Kec. Nganjuk, Kabupaten Nganjuk</v>
          </cell>
          <cell r="E122" t="str">
            <v>085331383399</v>
          </cell>
          <cell r="F122">
            <v>102</v>
          </cell>
          <cell r="G122">
            <v>0</v>
          </cell>
          <cell r="H122">
            <v>102</v>
          </cell>
          <cell r="I122">
            <v>1</v>
          </cell>
          <cell r="J122">
            <v>0</v>
          </cell>
          <cell r="K122">
            <v>0</v>
          </cell>
          <cell r="L122" t="str">
            <v>S</v>
          </cell>
        </row>
        <row r="123">
          <cell r="B123" t="str">
            <v>KSP Prima Sejahtera Cab Nganjuk</v>
          </cell>
          <cell r="C123" t="str">
            <v>Keuangan</v>
          </cell>
          <cell r="D123" t="str">
            <v>JL Raya Surabaya 10, Nganjuk</v>
          </cell>
          <cell r="E123">
            <v>0</v>
          </cell>
          <cell r="F123">
            <v>14</v>
          </cell>
          <cell r="G123">
            <v>0</v>
          </cell>
          <cell r="H123">
            <v>8</v>
          </cell>
          <cell r="I123">
            <v>0</v>
          </cell>
          <cell r="J123">
            <v>0</v>
          </cell>
          <cell r="K123">
            <v>0</v>
          </cell>
          <cell r="L123" t="str">
            <v>K</v>
          </cell>
        </row>
        <row r="124">
          <cell r="B124" t="str">
            <v>CV Putra Karya</v>
          </cell>
          <cell r="C124" t="str">
            <v>Jasa</v>
          </cell>
          <cell r="D124" t="str">
            <v>Jl. Sawahan-Berbek, Ledok, Salamrojo, Kec. Berbek, Kabupaten Nganjuk, Jawa Timur</v>
          </cell>
          <cell r="E124">
            <v>0</v>
          </cell>
          <cell r="F124">
            <v>2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 t="str">
            <v>MI</v>
          </cell>
        </row>
        <row r="125">
          <cell r="B125" t="str">
            <v>CV Putra Technik</v>
          </cell>
          <cell r="C125" t="str">
            <v>Jasa</v>
          </cell>
          <cell r="D125" t="str">
            <v> Ds. Salamrojo RT. 002 RW. 001 Kec. Berbek Nganjuk</v>
          </cell>
          <cell r="E125">
            <v>0</v>
          </cell>
          <cell r="F125">
            <v>1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 t="str">
            <v>MI</v>
          </cell>
        </row>
        <row r="126">
          <cell r="B126" t="str">
            <v>CV Putri Jaya Mandiri</v>
          </cell>
          <cell r="C126" t="str">
            <v>Jasa</v>
          </cell>
          <cell r="D126" t="str">
            <v>Dan Bandar Alim, Banar, Demangan, Kec. Tanjunganom, Kabupaten Nganjuk, Jawa Timur</v>
          </cell>
          <cell r="E126">
            <v>0</v>
          </cell>
          <cell r="F126">
            <v>1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 t="str">
            <v>MI</v>
          </cell>
        </row>
        <row r="127">
          <cell r="B127" t="str">
            <v>Rajawali Toserba</v>
          </cell>
          <cell r="C127" t="str">
            <v>Perdagangan</v>
          </cell>
          <cell r="D127" t="str">
            <v>Jl.Diponegoro No. 80 Payaman, Kec. Nganjuk, Kabupaten Nganjuk</v>
          </cell>
          <cell r="E127" t="str">
            <v>085655505784</v>
          </cell>
          <cell r="F127">
            <v>9</v>
          </cell>
          <cell r="G127">
            <v>0</v>
          </cell>
          <cell r="H127">
            <v>9</v>
          </cell>
          <cell r="I127">
            <v>0</v>
          </cell>
          <cell r="J127">
            <v>0</v>
          </cell>
          <cell r="K127">
            <v>0</v>
          </cell>
          <cell r="L127" t="str">
            <v>MI</v>
          </cell>
        </row>
        <row r="128">
          <cell r="B128" t="str">
            <v>Redjo Jaya Abadi (Redjo Cell)</v>
          </cell>
          <cell r="C128" t="str">
            <v>Perdagangan</v>
          </cell>
          <cell r="D128" t="str">
            <v>Jl. Diponegoro No.62, Mangundikaran, Ganung Kidul, Kec. Nganjuk, Kab. Nganjuk</v>
          </cell>
          <cell r="E128" t="str">
            <v>(0358) 326744</v>
          </cell>
          <cell r="F128">
            <v>8</v>
          </cell>
          <cell r="G128">
            <v>0</v>
          </cell>
          <cell r="H128">
            <v>3</v>
          </cell>
          <cell r="I128">
            <v>0</v>
          </cell>
          <cell r="J128">
            <v>0</v>
          </cell>
          <cell r="K128">
            <v>0</v>
          </cell>
          <cell r="L128" t="str">
            <v>MI</v>
          </cell>
        </row>
        <row r="129">
          <cell r="B129" t="str">
            <v>Semi Motor</v>
          </cell>
          <cell r="C129" t="str">
            <v>Perdagangan</v>
          </cell>
          <cell r="D129" t="str">
            <v>Jl. Raya Madiun, Papungan, Kedondong, Kec. Nganjuk, Kabupaten Nganjuk, Jawa Timur</v>
          </cell>
          <cell r="E129">
            <v>0</v>
          </cell>
          <cell r="F129">
            <v>2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 t="str">
            <v>MI</v>
          </cell>
        </row>
        <row r="130">
          <cell r="B130" t="str">
            <v xml:space="preserve">KSP Sentosa Makmur Jawa Timur </v>
          </cell>
          <cell r="C130" t="str">
            <v>Keuangan</v>
          </cell>
          <cell r="D130" t="str">
            <v>Jl. Merapi, Dusun Dingin No.22, Jajar, Sukorejo, Kec. Loceret, Kab. Nganjuk</v>
          </cell>
          <cell r="E130" t="str">
            <v>(0358) 321198</v>
          </cell>
          <cell r="F130">
            <v>25</v>
          </cell>
          <cell r="G130">
            <v>0</v>
          </cell>
          <cell r="H130">
            <v>25</v>
          </cell>
          <cell r="I130">
            <v>0</v>
          </cell>
          <cell r="J130">
            <v>0</v>
          </cell>
          <cell r="K130">
            <v>0</v>
          </cell>
          <cell r="L130" t="str">
            <v>K</v>
          </cell>
        </row>
        <row r="131">
          <cell r="B131" t="str">
            <v>KSP Setia Bhakti Cabang Nganjuk</v>
          </cell>
          <cell r="C131" t="str">
            <v>Keuangan</v>
          </cell>
          <cell r="D131" t="str">
            <v>Jl. Pepaya No.45, Pelem, Kec. Kertosono, Kabupaten Nganjuk</v>
          </cell>
          <cell r="E131" t="str">
            <v>(0358) 554949</v>
          </cell>
          <cell r="F131">
            <v>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 t="str">
            <v>MI</v>
          </cell>
        </row>
        <row r="132">
          <cell r="B132" t="str">
            <v>Sinergi Indo Pratama Perkasa</v>
          </cell>
          <cell r="C132" t="str">
            <v>Perdagangan</v>
          </cell>
          <cell r="D132" t="str">
            <v>JALAN SERSAN HARUN NOMOR 28 Kabupaten Nganjuk, Jawa Timur</v>
          </cell>
          <cell r="E132">
            <v>0</v>
          </cell>
          <cell r="F132">
            <v>2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 t="str">
            <v>MI</v>
          </cell>
        </row>
        <row r="133">
          <cell r="B133" t="str">
            <v>SPBU 54.644.13 Sumber Rejeki</v>
          </cell>
          <cell r="C133" t="str">
            <v>Perdagangan</v>
          </cell>
          <cell r="D133" t="str">
            <v>Mlorah, Rejoso, Kec. Nganjuk, Kabupaten Nganjuk, Jawa Timur </v>
          </cell>
          <cell r="E133">
            <v>0</v>
          </cell>
          <cell r="F133">
            <v>10</v>
          </cell>
          <cell r="G133">
            <v>0</v>
          </cell>
          <cell r="H133">
            <v>8</v>
          </cell>
          <cell r="I133">
            <v>2</v>
          </cell>
          <cell r="J133">
            <v>0</v>
          </cell>
          <cell r="K133">
            <v>0</v>
          </cell>
          <cell r="L133" t="str">
            <v>K</v>
          </cell>
        </row>
        <row r="134">
          <cell r="B134" t="str">
            <v>SPBU 54.644.15</v>
          </cell>
          <cell r="C134" t="str">
            <v>Perdagangan</v>
          </cell>
          <cell r="D134" t="str">
            <v>Jl. Raya Surabaya - Madiun, Manyung, Bagor Kulon, Kec. Bagor, Kab. Nganjuk</v>
          </cell>
          <cell r="E134" t="str">
            <v>(021) 1500000</v>
          </cell>
          <cell r="F134">
            <v>15</v>
          </cell>
          <cell r="G134">
            <v>0</v>
          </cell>
          <cell r="H134">
            <v>14</v>
          </cell>
          <cell r="I134">
            <v>0</v>
          </cell>
          <cell r="J134">
            <v>0</v>
          </cell>
          <cell r="K134">
            <v>0</v>
          </cell>
          <cell r="L134" t="str">
            <v>K</v>
          </cell>
        </row>
        <row r="135">
          <cell r="B135" t="str">
            <v>SPBU 54.644.21 Sumber Rejeki</v>
          </cell>
          <cell r="C135" t="str">
            <v>Perdagangan</v>
          </cell>
          <cell r="D135" t="str">
            <v>Desa Sengkut Kecamatan Berbek</v>
          </cell>
          <cell r="E135">
            <v>0</v>
          </cell>
          <cell r="F135">
            <v>14</v>
          </cell>
          <cell r="G135">
            <v>0</v>
          </cell>
          <cell r="H135">
            <v>14</v>
          </cell>
          <cell r="I135">
            <v>2</v>
          </cell>
          <cell r="J135">
            <v>0</v>
          </cell>
          <cell r="K135">
            <v>0</v>
          </cell>
          <cell r="L135" t="str">
            <v>K</v>
          </cell>
        </row>
        <row r="136">
          <cell r="B136" t="str">
            <v>SPBU 54-644-11</v>
          </cell>
          <cell r="C136" t="str">
            <v>Perdagangan</v>
          </cell>
          <cell r="D136" t="str">
            <v>Jl. Surabaya Sukomoro, Templek, Sukomoro, Kec. Sukomoro, Kabupaten Nganjuk, Jawa Timur</v>
          </cell>
          <cell r="E136">
            <v>0</v>
          </cell>
          <cell r="F136">
            <v>23</v>
          </cell>
          <cell r="G136">
            <v>0</v>
          </cell>
          <cell r="H136">
            <v>23</v>
          </cell>
          <cell r="I136">
            <v>0</v>
          </cell>
          <cell r="J136">
            <v>0</v>
          </cell>
          <cell r="K136">
            <v>0</v>
          </cell>
          <cell r="L136" t="str">
            <v>K</v>
          </cell>
        </row>
        <row r="137">
          <cell r="B137" t="str">
            <v xml:space="preserve">KSP Sumber Rejeki Mandiri </v>
          </cell>
          <cell r="C137" t="str">
            <v>Keuangan</v>
          </cell>
          <cell r="D137" t="str">
            <v> Jl. Semeru, Beran, Tanjungrejo, Kec. Loceret, Kabupaten Nganjuk, Jawa Timur</v>
          </cell>
          <cell r="E137">
            <v>0</v>
          </cell>
          <cell r="F137">
            <v>21</v>
          </cell>
          <cell r="G137">
            <v>0</v>
          </cell>
          <cell r="H137">
            <v>19</v>
          </cell>
          <cell r="I137">
            <v>0</v>
          </cell>
          <cell r="J137">
            <v>0</v>
          </cell>
          <cell r="K137">
            <v>0</v>
          </cell>
          <cell r="L137" t="str">
            <v>K</v>
          </cell>
        </row>
        <row r="138">
          <cell r="B138" t="str">
            <v>CV Sumber Rejeki</v>
          </cell>
          <cell r="C138" t="str">
            <v>Perdagangan</v>
          </cell>
          <cell r="D138" t="str">
            <v>Jl. Imam Bonjol No.113, Payaman, Kec. Nganjuk, Kabupaten Nganjuk, Jawa Timur</v>
          </cell>
          <cell r="E138">
            <v>0</v>
          </cell>
          <cell r="F138">
            <v>14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 t="str">
            <v>K</v>
          </cell>
        </row>
        <row r="139">
          <cell r="B139" t="str">
            <v>CV Sumber Srijati</v>
          </cell>
          <cell r="C139" t="str">
            <v>Perdagangan</v>
          </cell>
          <cell r="D139" t="str">
            <v>Ds Cerme RT.03 RW.07 Kec. Pace ; Kabupaten, : Kab. Nganjuk</v>
          </cell>
          <cell r="E139">
            <v>0</v>
          </cell>
          <cell r="F139">
            <v>2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 t="str">
            <v>MI</v>
          </cell>
        </row>
        <row r="140">
          <cell r="B140" t="str">
            <v>Surabaya Cell Cabang Gringging</v>
          </cell>
          <cell r="C140" t="str">
            <v>Perdagangan</v>
          </cell>
          <cell r="D140" t="str">
            <v>Gringging</v>
          </cell>
          <cell r="E140">
            <v>0</v>
          </cell>
          <cell r="F140">
            <v>3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 t="str">
            <v>MI</v>
          </cell>
        </row>
        <row r="141">
          <cell r="B141" t="str">
            <v>Surabaya Cell Cabang Kertosono</v>
          </cell>
          <cell r="C141" t="str">
            <v>Perdagangan</v>
          </cell>
          <cell r="D141" t="str">
            <v>Kertosono</v>
          </cell>
          <cell r="E141">
            <v>0</v>
          </cell>
          <cell r="F141">
            <v>4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 t="str">
            <v>MI</v>
          </cell>
        </row>
        <row r="142">
          <cell r="B142" t="str">
            <v>Surabaya Cell Cabang Nganjuk</v>
          </cell>
          <cell r="C142" t="str">
            <v>Perdagangan</v>
          </cell>
          <cell r="D142" t="str">
            <v>Jl. Diponegoro No.70, Ganung Kidul, Kec. Nganjuk, Kabupaten Nganjuk</v>
          </cell>
          <cell r="E142" t="str">
            <v>081977359146</v>
          </cell>
          <cell r="F142">
            <v>4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 t="str">
            <v>MI</v>
          </cell>
        </row>
        <row r="143">
          <cell r="B143" t="str">
            <v>Surabaya Cell Cabang Warujayeng</v>
          </cell>
          <cell r="C143" t="str">
            <v>Perdagangan</v>
          </cell>
          <cell r="D143" t="str">
            <v>Warujayeng</v>
          </cell>
          <cell r="E143">
            <v>0</v>
          </cell>
          <cell r="F143">
            <v>3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 t="str">
            <v>MI</v>
          </cell>
        </row>
        <row r="144">
          <cell r="B144" t="str">
            <v>CV Surya Abadi</v>
          </cell>
          <cell r="C144" t="str">
            <v>Perdagangan</v>
          </cell>
          <cell r="D144" t="str">
            <v>l. Raya Mastrip I No. 22 RT. 005 RW. 003 Kel. Ganungkidul Kec. Nganjuk</v>
          </cell>
          <cell r="E144">
            <v>0</v>
          </cell>
          <cell r="F144">
            <v>2</v>
          </cell>
          <cell r="G144">
            <v>0</v>
          </cell>
          <cell r="H144">
            <v>2</v>
          </cell>
          <cell r="I144">
            <v>0</v>
          </cell>
          <cell r="J144">
            <v>0</v>
          </cell>
          <cell r="K144">
            <v>0</v>
          </cell>
          <cell r="L144" t="str">
            <v>MI</v>
          </cell>
        </row>
        <row r="145">
          <cell r="B145" t="str">
            <v>CV Surya Jaya</v>
          </cell>
          <cell r="C145" t="str">
            <v>Perdagangan</v>
          </cell>
          <cell r="D145" t="str">
            <v>Mantub, Kramat, Kec. Nganjuk, Kabupaten Nganjuk, Jawa Timur</v>
          </cell>
          <cell r="E145">
            <v>0</v>
          </cell>
          <cell r="F145">
            <v>2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 t="str">
            <v>MI</v>
          </cell>
        </row>
        <row r="146">
          <cell r="B146" t="str">
            <v>Surya Kencana</v>
          </cell>
          <cell r="C146" t="str">
            <v>Perdagangan</v>
          </cell>
          <cell r="D146" t="str">
            <v>Jl. Kartini No.1-7, Mangundikaran, Mangun Dikaran, Kec. Nganjuk, Kabupaten Nganjuk, Jawa Timur</v>
          </cell>
          <cell r="E146">
            <v>0</v>
          </cell>
          <cell r="F146">
            <v>2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 t="str">
            <v>MI</v>
          </cell>
        </row>
        <row r="147">
          <cell r="B147" t="str">
            <v>CV Surya Mas</v>
          </cell>
          <cell r="C147" t="str">
            <v>Perdagangan</v>
          </cell>
          <cell r="D147" t="str">
            <v>Ds. Balongpacul Rt.002 Rw.001 Kec. Nganjuk</v>
          </cell>
          <cell r="E147">
            <v>0</v>
          </cell>
          <cell r="F147">
            <v>2</v>
          </cell>
          <cell r="G147">
            <v>0</v>
          </cell>
          <cell r="H147">
            <v>0</v>
          </cell>
          <cell r="I147">
            <v>1</v>
          </cell>
          <cell r="J147">
            <v>0</v>
          </cell>
          <cell r="K147">
            <v>0</v>
          </cell>
          <cell r="L147" t="str">
            <v>MI</v>
          </cell>
        </row>
        <row r="148">
          <cell r="B148" t="str">
            <v>Surya Sejati Perkasa Nganjuk</v>
          </cell>
          <cell r="C148" t="str">
            <v>Perdagangan</v>
          </cell>
          <cell r="D148" t="str">
            <v>Sumengko, Kec. Sukomoro, Kabupaten Nganjuk, Jawa Timur</v>
          </cell>
          <cell r="E148">
            <v>0</v>
          </cell>
          <cell r="F148">
            <v>2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 t="str">
            <v>MI</v>
          </cell>
        </row>
        <row r="149">
          <cell r="B149" t="str">
            <v>CV Tirta Utama</v>
          </cell>
          <cell r="C149" t="str">
            <v>Perdagangan</v>
          </cell>
          <cell r="D149" t="str">
            <v>Dkh. Kalen RT.005 RW. 001 Ds. Balongrejo Kec. Berbek kabupaten Kab. Nganjuk</v>
          </cell>
          <cell r="E149">
            <v>0</v>
          </cell>
          <cell r="F149">
            <v>2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 t="str">
            <v>MI</v>
          </cell>
        </row>
        <row r="150">
          <cell r="B150" t="str">
            <v>Toko Aww Fashion - Cabang Warujayeng</v>
          </cell>
          <cell r="C150" t="str">
            <v>Perdagangan</v>
          </cell>
          <cell r="D150" t="str">
            <v>Area Sawah, Tanjunganom, Kec. Tanjunganom, Kabupaten Nganjuk</v>
          </cell>
          <cell r="E150" t="str">
            <v>082335555203</v>
          </cell>
          <cell r="F150">
            <v>5</v>
          </cell>
          <cell r="G150">
            <v>0</v>
          </cell>
          <cell r="H150">
            <v>3</v>
          </cell>
          <cell r="I150">
            <v>0</v>
          </cell>
          <cell r="J150">
            <v>0</v>
          </cell>
          <cell r="K150">
            <v>0</v>
          </cell>
          <cell r="L150" t="str">
            <v>MI</v>
          </cell>
        </row>
        <row r="151">
          <cell r="B151" t="str">
            <v>Toko Semarang Motor</v>
          </cell>
          <cell r="C151" t="str">
            <v>Perdagangan</v>
          </cell>
          <cell r="D151" t="str">
            <v>Payaman, Kec. Nganjuk, Kabupaten Nganjuk, Jawa Timur</v>
          </cell>
          <cell r="E151">
            <v>0</v>
          </cell>
          <cell r="F151">
            <v>3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 t="str">
            <v>MI</v>
          </cell>
        </row>
        <row r="152">
          <cell r="B152" t="str">
            <v>Toko Sinar Jaya</v>
          </cell>
          <cell r="C152" t="str">
            <v>Perdagangan</v>
          </cell>
          <cell r="D152" t="str">
            <v>Jl. Yos Sudarso No.94-74, Nganjuk, Ganung Kidul, Kec. Nganjuk, Kab. Nganjuk</v>
          </cell>
          <cell r="E152" t="str">
            <v>085655269840</v>
          </cell>
          <cell r="F152">
            <v>2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 t="str">
            <v>MI</v>
          </cell>
        </row>
        <row r="153">
          <cell r="B153" t="str">
            <v>Toko Wijaya Elektronik</v>
          </cell>
          <cell r="C153" t="str">
            <v>Perdagangan</v>
          </cell>
          <cell r="D153" t="str">
            <v>Jl. Ahmad Yani No.130-132, Payaman, Kec. Nganjuk, Kabupaten Nganjuk</v>
          </cell>
          <cell r="E153" t="str">
            <v>085731176850</v>
          </cell>
          <cell r="F153">
            <v>2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 t="str">
            <v>MI</v>
          </cell>
        </row>
        <row r="154">
          <cell r="B154" t="str">
            <v xml:space="preserve">KSP Tunas Artha Mandiri </v>
          </cell>
          <cell r="C154" t="str">
            <v>Keuangan</v>
          </cell>
          <cell r="D154" t="str">
            <v>Jl. Dermojoyo No.34, Payaman, Kec. Nganjuk, Kabupaten Nganjuk</v>
          </cell>
          <cell r="E154" t="str">
            <v>(0358) 329000</v>
          </cell>
          <cell r="F154">
            <v>983</v>
          </cell>
          <cell r="G154">
            <v>0</v>
          </cell>
          <cell r="H154">
            <v>977</v>
          </cell>
          <cell r="I154">
            <v>0</v>
          </cell>
          <cell r="J154">
            <v>0</v>
          </cell>
          <cell r="K154">
            <v>0</v>
          </cell>
          <cell r="L154" t="str">
            <v>B</v>
          </cell>
        </row>
        <row r="155">
          <cell r="B155" t="str">
            <v>KSP Tunas Prima</v>
          </cell>
          <cell r="C155" t="str">
            <v>Keuangan</v>
          </cell>
          <cell r="D155" t="str">
            <v>Sumbersari, Mojokendil, Ngronggot, Kabupaten Nganjuk</v>
          </cell>
          <cell r="E155" t="str">
            <v>08121704393</v>
          </cell>
          <cell r="F155">
            <v>34</v>
          </cell>
          <cell r="G155">
            <v>0</v>
          </cell>
          <cell r="H155">
            <v>29</v>
          </cell>
          <cell r="I155">
            <v>0</v>
          </cell>
          <cell r="J155">
            <v>0</v>
          </cell>
          <cell r="K155">
            <v>0</v>
          </cell>
          <cell r="L155" t="str">
            <v>M</v>
          </cell>
        </row>
        <row r="156">
          <cell r="B156" t="str">
            <v>Ud Gunung Jati</v>
          </cell>
          <cell r="C156" t="str">
            <v>Industri</v>
          </cell>
          <cell r="D156" t="str">
            <v>Jl Raya Kediri, 22, Loceret, Kec. Nganjuk</v>
          </cell>
          <cell r="E156">
            <v>0</v>
          </cell>
          <cell r="F156">
            <v>1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 t="str">
            <v>MI</v>
          </cell>
        </row>
        <row r="157">
          <cell r="B157" t="str">
            <v>Warna Abadi Mitra Bersama Cab Kertosono</v>
          </cell>
          <cell r="C157" t="str">
            <v>Perdagangan</v>
          </cell>
          <cell r="D157" t="str">
            <v>Jl. Panglima Sudirman, RT.001/RW.001, Tembarak, Kec. Kertosono, Kab. Nganjuk</v>
          </cell>
          <cell r="E157">
            <v>87873838585</v>
          </cell>
          <cell r="F157">
            <v>6</v>
          </cell>
          <cell r="G157">
            <v>0</v>
          </cell>
          <cell r="H157">
            <v>5</v>
          </cell>
          <cell r="I157">
            <v>0</v>
          </cell>
          <cell r="J157">
            <v>0</v>
          </cell>
          <cell r="K157">
            <v>0</v>
          </cell>
          <cell r="L157" t="str">
            <v>MI</v>
          </cell>
        </row>
        <row r="158">
          <cell r="B158" t="str">
            <v>SPBU 5464425 Wisnu Surya Jaya</v>
          </cell>
          <cell r="C158" t="str">
            <v>Perdagangan</v>
          </cell>
          <cell r="D158" t="str">
            <v>Area Sawah/Kebun, Putren, Kec. Sukomoro, Kabupaten Nganjuk</v>
          </cell>
          <cell r="E158" t="str">
            <v>082244849027</v>
          </cell>
          <cell r="F158">
            <v>14</v>
          </cell>
          <cell r="G158">
            <v>0</v>
          </cell>
          <cell r="H158">
            <v>12</v>
          </cell>
          <cell r="I158">
            <v>0</v>
          </cell>
          <cell r="J158">
            <v>0</v>
          </cell>
          <cell r="K158">
            <v>0</v>
          </cell>
          <cell r="L158" t="str">
            <v>K</v>
          </cell>
        </row>
        <row r="159">
          <cell r="B159" t="str">
            <v>PT. Mitra Saruta Indonesia</v>
          </cell>
          <cell r="C159" t="str">
            <v>Industri</v>
          </cell>
          <cell r="D159" t="str">
            <v>Jl. Raya Rejoso, Mlorah, Kec. Rejoso, Kab. Nganjuk</v>
          </cell>
          <cell r="E159" t="str">
            <v>(031) 8977777</v>
          </cell>
          <cell r="F159">
            <v>1710</v>
          </cell>
          <cell r="G159">
            <v>3</v>
          </cell>
          <cell r="H159">
            <v>0</v>
          </cell>
          <cell r="I159">
            <v>0</v>
          </cell>
          <cell r="J159">
            <v>0</v>
          </cell>
          <cell r="K159" t="str">
            <v>√</v>
          </cell>
          <cell r="L159" t="str">
            <v>B</v>
          </cell>
        </row>
        <row r="160">
          <cell r="B160" t="str">
            <v>RS Aisyiah</v>
          </cell>
          <cell r="C160" t="str">
            <v>Jasa</v>
          </cell>
          <cell r="D160" t="str">
            <v>Jl. Imam Bonjol No.20, Payaman, Kec. Nganjuk, Kabupaten Nganjuk</v>
          </cell>
          <cell r="E160" t="str">
            <v>(0358) 324024</v>
          </cell>
          <cell r="F160">
            <v>229</v>
          </cell>
          <cell r="G160">
            <v>0</v>
          </cell>
          <cell r="H160">
            <v>129</v>
          </cell>
          <cell r="I160">
            <v>0</v>
          </cell>
          <cell r="J160">
            <v>0</v>
          </cell>
          <cell r="K160">
            <v>0</v>
          </cell>
          <cell r="L160" t="str">
            <v>B</v>
          </cell>
        </row>
        <row r="161">
          <cell r="B161" t="str">
            <v>RS Bhayangkara NGANJUK</v>
          </cell>
          <cell r="C161" t="str">
            <v>Jasa</v>
          </cell>
          <cell r="D161" t="str">
            <v>Jl. Abdurahman Saleh VI No.56, Kauman, Kec. Nganjuk, Kabupaten Nganjuk</v>
          </cell>
          <cell r="E161" t="str">
            <v>(0358) 321896</v>
          </cell>
          <cell r="F161">
            <v>300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 t="str">
            <v>MI</v>
          </cell>
        </row>
        <row r="162">
          <cell r="B162" t="str">
            <v>PT. Karya Dharma Kuria, Nganjuk</v>
          </cell>
          <cell r="C162" t="str">
            <v>Industri</v>
          </cell>
          <cell r="D162" t="str">
            <v>Besuk, Sukorejo, Kec. Loceret, Kabupaten Nganjuk, Jawa Timur</v>
          </cell>
          <cell r="E162">
            <v>0</v>
          </cell>
          <cell r="F162">
            <v>16</v>
          </cell>
          <cell r="G162">
            <v>0</v>
          </cell>
          <cell r="H162">
            <v>15</v>
          </cell>
          <cell r="I162">
            <v>0</v>
          </cell>
          <cell r="J162" t="str">
            <v>√</v>
          </cell>
          <cell r="K162">
            <v>0</v>
          </cell>
          <cell r="L162" t="str">
            <v>K</v>
          </cell>
        </row>
        <row r="163">
          <cell r="B163" t="str">
            <v>SPBU 54.644.04, Loceret</v>
          </cell>
          <cell r="C163" t="str">
            <v>Perdagangan</v>
          </cell>
          <cell r="D163" t="str">
            <v>Jalan Anjuk Ladang, Loceret, Candirejo, Loceret, Kabupaten Nganjuk, Jawa Timur</v>
          </cell>
          <cell r="E163">
            <v>0</v>
          </cell>
          <cell r="F163">
            <v>15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 t="str">
            <v>K</v>
          </cell>
        </row>
        <row r="164">
          <cell r="B164" t="str">
            <v>PT. Limmas Anugrah Plasindo, Pace</v>
          </cell>
          <cell r="C164" t="str">
            <v>Industri</v>
          </cell>
          <cell r="D164" t="str">
            <v>Jalan Artikan, Kecubung, Kec. Pace, Kabupaten Nganjuk</v>
          </cell>
          <cell r="E164" t="str">
            <v>081332075753</v>
          </cell>
          <cell r="F164">
            <v>48</v>
          </cell>
          <cell r="G164">
            <v>0</v>
          </cell>
          <cell r="H164">
            <v>41</v>
          </cell>
          <cell r="I164">
            <v>2</v>
          </cell>
          <cell r="J164" t="str">
            <v>√</v>
          </cell>
          <cell r="K164">
            <v>0</v>
          </cell>
          <cell r="L164" t="str">
            <v>M</v>
          </cell>
        </row>
        <row r="165">
          <cell r="B165" t="str">
            <v>SPBU 54.644.1, Kedungrejo</v>
          </cell>
          <cell r="C165" t="str">
            <v>Perdagangan</v>
          </cell>
          <cell r="D165" t="str">
            <v>Jl. Raya Nganjuk, Glotan, Kedungrejo, Kec. Tanjunganom, Kabupaten Nganjuk, Jawa Timur</v>
          </cell>
          <cell r="E165">
            <v>0</v>
          </cell>
          <cell r="F165">
            <v>20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 t="str">
            <v>K</v>
          </cell>
        </row>
        <row r="166">
          <cell r="B166" t="str">
            <v>Hotel Wilis</v>
          </cell>
          <cell r="C166" t="str">
            <v>Jasa</v>
          </cell>
          <cell r="D166" t="str">
            <v>Jl. Gatot Subroto No.97/99, Kauman, Kec. Nganjuk, Kabupaten Nganjuk</v>
          </cell>
          <cell r="E166" t="str">
            <v>(0358) 323808</v>
          </cell>
          <cell r="F166">
            <v>18</v>
          </cell>
          <cell r="G166">
            <v>0</v>
          </cell>
          <cell r="H166">
            <v>7</v>
          </cell>
          <cell r="I166">
            <v>0</v>
          </cell>
          <cell r="J166">
            <v>0</v>
          </cell>
          <cell r="K166">
            <v>0</v>
          </cell>
          <cell r="L166" t="str">
            <v>K</v>
          </cell>
        </row>
        <row r="167">
          <cell r="B167" t="str">
            <v>PD. Aneka Usaha, Nganjuk</v>
          </cell>
          <cell r="C167" t="str">
            <v>Perdagangan</v>
          </cell>
          <cell r="D167" t="str">
            <v>Jl. Yos Sudarso No.20, Payaman, Kec. Nganjuk, Kabupaten Nganjuk</v>
          </cell>
          <cell r="E167" t="str">
            <v>(0355) 321785</v>
          </cell>
          <cell r="F167">
            <v>40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 t="str">
            <v>K</v>
          </cell>
        </row>
        <row r="168">
          <cell r="B168" t="str">
            <v>KSU Mahkota, Kertosono</v>
          </cell>
          <cell r="C168" t="str">
            <v>Jasa</v>
          </cell>
          <cell r="D168" t="str">
            <v>Kertosono</v>
          </cell>
          <cell r="E168">
            <v>0</v>
          </cell>
          <cell r="F168">
            <v>5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 t="str">
            <v>MI</v>
          </cell>
        </row>
        <row r="169">
          <cell r="B169" t="str">
            <v>Mahkota Jaya Motor, Kertosono</v>
          </cell>
          <cell r="C169" t="str">
            <v>Perdagangan</v>
          </cell>
          <cell r="D169" t="str">
            <v>Jl. Gatot Subroto No.76, Banaran, Kec. Kertosono, Kabupaten Nganjuk</v>
          </cell>
          <cell r="E169" t="str">
            <v>(0358) 551402</v>
          </cell>
          <cell r="F169">
            <v>2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 t="str">
            <v>MI</v>
          </cell>
        </row>
        <row r="170">
          <cell r="B170" t="str">
            <v>KSP Artha Panggung Kencana, Nganjuk</v>
          </cell>
          <cell r="C170" t="str">
            <v>Jasa</v>
          </cell>
          <cell r="D170" t="str">
            <v>Jalan Megantaro No.02, Payaman, Kec. Nganjuk, Kabupaten Nganjuk</v>
          </cell>
          <cell r="E170" t="str">
            <v>(0358) 330661</v>
          </cell>
          <cell r="F170">
            <v>25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 t="str">
            <v>M</v>
          </cell>
        </row>
        <row r="171">
          <cell r="B171" t="str">
            <v>KSP Adi Jaya Raharja, Nganjuk</v>
          </cell>
          <cell r="C171" t="str">
            <v>Jasa</v>
          </cell>
          <cell r="D171" t="str">
            <v>Nganjuk</v>
          </cell>
          <cell r="E171">
            <v>0</v>
          </cell>
          <cell r="F171">
            <v>5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 t="str">
            <v>MI</v>
          </cell>
        </row>
        <row r="172">
          <cell r="B172" t="str">
            <v>PT. BPR Sarana Artha, Kertosono</v>
          </cell>
          <cell r="C172" t="str">
            <v>Jasa</v>
          </cell>
          <cell r="D172" t="str">
            <v>Jl. Ahmad Yani No.21, Kutorejo, Kec. Kertosono, Kabupaten Nganjuk</v>
          </cell>
          <cell r="E172" t="str">
            <v>(0358) 551296</v>
          </cell>
          <cell r="F172">
            <v>7</v>
          </cell>
          <cell r="G172">
            <v>0</v>
          </cell>
          <cell r="H172">
            <v>0</v>
          </cell>
          <cell r="I172">
            <v>1</v>
          </cell>
          <cell r="J172">
            <v>0</v>
          </cell>
          <cell r="K172">
            <v>0</v>
          </cell>
          <cell r="L172" t="str">
            <v>MI</v>
          </cell>
        </row>
        <row r="173">
          <cell r="B173" t="str">
            <v>PT. Berlian Jaya Perkasa</v>
          </cell>
          <cell r="C173" t="str">
            <v>Industri</v>
          </cell>
          <cell r="D173" t="str">
            <v>Guyangan, Kec. Bagor, Kabupaten Nganjuk</v>
          </cell>
          <cell r="E173" t="str">
            <v>(0358) 325341</v>
          </cell>
          <cell r="F173">
            <v>47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 t="str">
            <v>S</v>
          </cell>
        </row>
        <row r="174">
          <cell r="B174" t="str">
            <v>PT. Usaha Kiyat Mandiri</v>
          </cell>
          <cell r="C174" t="str">
            <v>Jasa</v>
          </cell>
          <cell r="D174" t="str">
            <v>Jl. Dieng 1, RT.03/RW.04, Kramat, Kec. Nganjuk, Kabupaten Nganjuk, Jawa Timur</v>
          </cell>
          <cell r="E174">
            <v>0</v>
          </cell>
          <cell r="F174">
            <v>2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 t="str">
            <v>MI</v>
          </cell>
        </row>
        <row r="175">
          <cell r="B175" t="str">
            <v>Xsdn-PT. Daya Indah Yasa</v>
          </cell>
          <cell r="C175" t="str">
            <v>Industri</v>
          </cell>
          <cell r="D175" t="str">
            <v>Nganjuk</v>
          </cell>
          <cell r="E175">
            <v>0</v>
          </cell>
          <cell r="F175">
            <v>9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 t="str">
            <v>MI</v>
          </cell>
        </row>
        <row r="176">
          <cell r="B176" t="str">
            <v>Maju Hardware</v>
          </cell>
          <cell r="C176" t="str">
            <v>Perdagangan</v>
          </cell>
          <cell r="D176" t="str">
            <v>Jl. Diponegoro No.18, Mangundikaran, Kec. Nganjuk, Kab. Nganjuk</v>
          </cell>
          <cell r="E176" t="str">
            <v>081515853648</v>
          </cell>
          <cell r="F176">
            <v>28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 t="str">
            <v>MI</v>
          </cell>
        </row>
        <row r="177">
          <cell r="B177" t="str">
            <v>PT. Multi Farmindo Jaya, Lengkong</v>
          </cell>
          <cell r="C177" t="str">
            <v>Industri</v>
          </cell>
          <cell r="D177" t="str">
            <v>Bajulan, Prayungan, Kec. Lengkong, Kabupaten Nganjuk</v>
          </cell>
          <cell r="E177" t="str">
            <v>0811324792</v>
          </cell>
          <cell r="F177">
            <v>144</v>
          </cell>
          <cell r="G177">
            <v>0</v>
          </cell>
          <cell r="H177">
            <v>138</v>
          </cell>
          <cell r="I177">
            <v>2</v>
          </cell>
          <cell r="J177">
            <v>0</v>
          </cell>
          <cell r="K177">
            <v>0</v>
          </cell>
          <cell r="L177" t="str">
            <v>B</v>
          </cell>
        </row>
        <row r="178">
          <cell r="B178" t="str">
            <v>PT. Soendari Harum Abadi, Loceret</v>
          </cell>
          <cell r="C178" t="str">
            <v>Perdagangan</v>
          </cell>
          <cell r="D178" t="str">
            <v>Jl. Raya Ds. Loceret Kec. Loceret Kab. Nganjuk</v>
          </cell>
          <cell r="E178">
            <v>0</v>
          </cell>
          <cell r="F178">
            <v>16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 t="str">
            <v>K</v>
          </cell>
        </row>
        <row r="179">
          <cell r="B179" t="str">
            <v>SPPBE PT. Karya Usaha Lestari, Pace</v>
          </cell>
          <cell r="C179" t="str">
            <v>Perdagangan</v>
          </cell>
          <cell r="D179" t="str">
            <v>Babadan, Kec. Pace, Kabupaten Nganjuk</v>
          </cell>
          <cell r="E179" t="str">
            <v>(0358) 3513368</v>
          </cell>
          <cell r="F179">
            <v>34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 t="str">
            <v>M</v>
          </cell>
        </row>
        <row r="180">
          <cell r="B180" t="str">
            <v>UD. H Moch Tohir SPBU 54.644.02, Kertosono</v>
          </cell>
          <cell r="C180" t="str">
            <v>Perdagangan</v>
          </cell>
          <cell r="D180" t="str">
            <v>Jl. Raya Desa Kepuh Kec. Kertosono Kab. Nganjuk</v>
          </cell>
          <cell r="E180">
            <v>0</v>
          </cell>
          <cell r="F180">
            <v>20</v>
          </cell>
          <cell r="G180">
            <v>0</v>
          </cell>
          <cell r="H180">
            <v>0</v>
          </cell>
          <cell r="I180">
            <v>2</v>
          </cell>
          <cell r="J180">
            <v>0</v>
          </cell>
          <cell r="K180">
            <v>0</v>
          </cell>
          <cell r="L180" t="str">
            <v>K</v>
          </cell>
        </row>
        <row r="181">
          <cell r="B181" t="str">
            <v>UD. Fitria Evy SPBU5.54.644.20, Kertosono</v>
          </cell>
          <cell r="C181" t="str">
            <v>Perdagangan</v>
          </cell>
          <cell r="D181" t="str">
            <v>Ds. Banaran Kec. Kertosono Kab. Nganjuk</v>
          </cell>
          <cell r="E181">
            <v>0</v>
          </cell>
          <cell r="F181">
            <v>14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 t="str">
            <v>K</v>
          </cell>
        </row>
        <row r="182">
          <cell r="B182" t="str">
            <v>Rumah Makan Tra Damayanti</v>
          </cell>
          <cell r="C182" t="str">
            <v>Perdagangan</v>
          </cell>
          <cell r="D182" t="str">
            <v>Jl. Supriadi No.48, Banaran, Kudu, Kec. Kertosono, Kabupaten Nganjuk, Jawa Timur </v>
          </cell>
          <cell r="E182">
            <v>0</v>
          </cell>
          <cell r="F182">
            <v>6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 t="str">
            <v>MI</v>
          </cell>
        </row>
        <row r="183">
          <cell r="B183" t="str">
            <v>UD. Sri Wahyuningsih (SPBU) Sukomoro</v>
          </cell>
          <cell r="C183" t="str">
            <v>Perdagangan</v>
          </cell>
          <cell r="D183" t="str">
            <v>Ds. Kedungsoko Kec. Sukomoro Kab. Nganjuk</v>
          </cell>
          <cell r="E183">
            <v>0</v>
          </cell>
          <cell r="F183">
            <v>21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 t="str">
            <v>K</v>
          </cell>
        </row>
        <row r="184">
          <cell r="B184" t="str">
            <v>PT. Karunia Ultima Kemasan</v>
          </cell>
          <cell r="C184" t="str">
            <v>Industri</v>
          </cell>
          <cell r="D184" t="str">
            <v>Jl. Lengkong - Jatikalen, Doro, Ngasem, Kec. Jatikalen, Kabupaten Nganjuk</v>
          </cell>
          <cell r="E184" t="str">
            <v>(0358) 5503888</v>
          </cell>
          <cell r="F184">
            <v>60</v>
          </cell>
          <cell r="G184">
            <v>0</v>
          </cell>
          <cell r="H184">
            <v>23</v>
          </cell>
          <cell r="I184">
            <v>0</v>
          </cell>
          <cell r="J184" t="str">
            <v>√</v>
          </cell>
          <cell r="K184">
            <v>0</v>
          </cell>
          <cell r="L184" t="str">
            <v>M</v>
          </cell>
        </row>
        <row r="185">
          <cell r="B185" t="str">
            <v xml:space="preserve">PT. BPR Anjuk Ladang </v>
          </cell>
          <cell r="C185" t="str">
            <v>Keuangan</v>
          </cell>
          <cell r="D185" t="str">
            <v>Jalan Prof. Gondo Wardoyo No.10, Payaman, Kec. Nganjuk, Kabupaten Nganjuk</v>
          </cell>
          <cell r="E185" t="str">
            <v>(0358) 3551633</v>
          </cell>
          <cell r="F185">
            <v>23</v>
          </cell>
          <cell r="G185">
            <v>0</v>
          </cell>
          <cell r="H185">
            <v>21</v>
          </cell>
          <cell r="I185">
            <v>0</v>
          </cell>
          <cell r="J185" t="str">
            <v>√</v>
          </cell>
          <cell r="K185">
            <v>0</v>
          </cell>
          <cell r="L185" t="str">
            <v>K</v>
          </cell>
        </row>
        <row r="186">
          <cell r="B186" t="str">
            <v>Cabang Pemasaran Nganjuk</v>
          </cell>
          <cell r="C186" t="str">
            <v>Perdagangan</v>
          </cell>
          <cell r="D186" t="str">
            <v>Nganjuk</v>
          </cell>
          <cell r="E186">
            <v>0</v>
          </cell>
          <cell r="F186">
            <v>2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 t="str">
            <v>MI</v>
          </cell>
        </row>
        <row r="187">
          <cell r="B187" t="str">
            <v>CV. Metal Moulding Indonesia</v>
          </cell>
          <cell r="C187" t="str">
            <v>Perdagangan</v>
          </cell>
          <cell r="D187" t="str">
            <v>RT.012/RW.002, Songsong, Jatikalen, Kec. Jatikalen, Kabupaten Nganjuk</v>
          </cell>
          <cell r="E187" t="str">
            <v>085234124660</v>
          </cell>
          <cell r="F187">
            <v>3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 t="str">
            <v>MI</v>
          </cell>
        </row>
        <row r="188">
          <cell r="B188" t="str">
            <v>Elnusa Petrofin Dppu Malang</v>
          </cell>
          <cell r="C188" t="str">
            <v>Jasa</v>
          </cell>
          <cell r="D188" t="str">
            <v>Kauman, Nganjuk</v>
          </cell>
          <cell r="E188">
            <v>0</v>
          </cell>
          <cell r="F188">
            <v>1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 t="str">
            <v>MI</v>
          </cell>
        </row>
        <row r="189">
          <cell r="B189" t="str">
            <v>Klinik Mata Ayu Siwi Nganjuk</v>
          </cell>
          <cell r="C189" t="str">
            <v>Perdagangan</v>
          </cell>
          <cell r="D189" t="str">
            <v>Jl. Veteran I No.16, Mangundikaran, Mangun Dikaran, Kec. Nganjuk, Kabupaten Nganjuk</v>
          </cell>
          <cell r="E189" t="str">
            <v>082246460202</v>
          </cell>
          <cell r="F189">
            <v>30</v>
          </cell>
          <cell r="G189">
            <v>0</v>
          </cell>
          <cell r="H189">
            <v>30</v>
          </cell>
          <cell r="I189">
            <v>0</v>
          </cell>
          <cell r="J189">
            <v>0</v>
          </cell>
          <cell r="K189">
            <v>0</v>
          </cell>
          <cell r="L189" t="str">
            <v>M</v>
          </cell>
        </row>
        <row r="190">
          <cell r="B190" t="str">
            <v>KSP Mitra Dhuafa Cbg Nganjuk</v>
          </cell>
          <cell r="C190" t="str">
            <v>Keuangan</v>
          </cell>
          <cell r="D190" t="str">
            <v>Jl. Diponegoro IV No.06, Mangundikaran, Kec. Nganjuk, Kab. Nganjuk</v>
          </cell>
          <cell r="E190" t="str">
            <v>085732801335</v>
          </cell>
          <cell r="F190">
            <v>37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 t="str">
            <v>M</v>
          </cell>
        </row>
        <row r="191">
          <cell r="B191" t="str">
            <v>PT. Bussan Auto Finance Nganjuk</v>
          </cell>
          <cell r="C191" t="str">
            <v>Keuangan</v>
          </cell>
          <cell r="D191" t="str">
            <v>Jl. Dermojoyo No.36, Payaman, Kec. Nganjuk, Kabupaten Nganjuk</v>
          </cell>
          <cell r="E191" t="str">
            <v>(0358) 330881</v>
          </cell>
          <cell r="F191">
            <v>10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 t="str">
            <v>K</v>
          </cell>
        </row>
        <row r="192">
          <cell r="B192" t="str">
            <v>PT. Nafira Surya Perkasa</v>
          </cell>
          <cell r="C192" t="str">
            <v>Perdagangan</v>
          </cell>
          <cell r="D192" t="str">
            <v>Jl. Imam Bonjol No. 30 Ds. Tembarak Kec. Kertosono, Nganjuk</v>
          </cell>
          <cell r="E192" t="str">
            <v>(0358) 552534</v>
          </cell>
          <cell r="F192">
            <v>37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 t="str">
            <v>M</v>
          </cell>
        </row>
        <row r="193">
          <cell r="B193" t="str">
            <v>PT. Wonokoyo Jaya Corporindo Hatchery Nganjuk</v>
          </cell>
          <cell r="C193" t="str">
            <v>Perdagangan</v>
          </cell>
          <cell r="D193" t="str">
            <v>Gampeng, Lumpang Kuwik, Kec. Jatikalen, Kabupaten Nganjuk</v>
          </cell>
          <cell r="E193" t="str">
            <v>085159822270</v>
          </cell>
          <cell r="F193">
            <v>58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 t="str">
            <v>S</v>
          </cell>
        </row>
        <row r="194">
          <cell r="B194" t="str">
            <v>PT. Bank Mega, Tbk Kcp Nganjuk</v>
          </cell>
          <cell r="C194" t="str">
            <v>Keuangan</v>
          </cell>
          <cell r="D194" t="str">
            <v>Jl. Ahmad Yani No.77, Payaman, Kec. Nganjuk, Kabupaten Nganjuk</v>
          </cell>
          <cell r="E194" t="str">
            <v>(0358) 331777</v>
          </cell>
          <cell r="F194">
            <v>3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 t="str">
            <v>MI</v>
          </cell>
        </row>
        <row r="195">
          <cell r="B195" t="str">
            <v>PT. BPR Jawa Timur</v>
          </cell>
          <cell r="C195" t="str">
            <v>Keuangan</v>
          </cell>
          <cell r="D195" t="str">
            <v>Jl. Merdeka Kav 2 No. 2B, Kec Nganjuk, Kab Nganjuk</v>
          </cell>
          <cell r="E195" t="str">
            <v>(0358)323152</v>
          </cell>
          <cell r="F195">
            <v>33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 t="str">
            <v>M</v>
          </cell>
        </row>
        <row r="196">
          <cell r="B196" t="str">
            <v>PT. Indofood Sukses Makmur Tbk, Kertosono</v>
          </cell>
          <cell r="C196" t="str">
            <v>Industri</v>
          </cell>
          <cell r="D196" t="str">
            <v>Jl. Raya Panglima Sudirman KM. 4, Dsn Klinter, Ds Pelem, Kec. Nganjuk, Kertosono</v>
          </cell>
          <cell r="E196" t="str">
            <v>08123046645</v>
          </cell>
          <cell r="F196">
            <v>5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 t="str">
            <v>MI</v>
          </cell>
        </row>
        <row r="197">
          <cell r="B197" t="str">
            <v>PT. Mitra Pinasthika Mustika, Cbg Nganjuk</v>
          </cell>
          <cell r="C197" t="str">
            <v>Perdagangan</v>
          </cell>
          <cell r="D197" t="str">
            <v>Jl. Raya Kediri No 48-50, Kec. Loceret, Kab. Nganjuk</v>
          </cell>
          <cell r="E197" t="str">
            <v>085648463370</v>
          </cell>
          <cell r="F197">
            <v>50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 t="str">
            <v>K</v>
          </cell>
        </row>
        <row r="198">
          <cell r="B198" t="str">
            <v>PT. Panca Graha Pratama Cbg Nganjuk</v>
          </cell>
          <cell r="C198" t="str">
            <v>Industri</v>
          </cell>
          <cell r="D198" t="str">
            <v>Jl. Baron Timur , No. 255 Rt.01 Rw.01 Nganjuk</v>
          </cell>
          <cell r="E198">
            <v>0</v>
          </cell>
          <cell r="F198">
            <v>15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 t="str">
            <v>K</v>
          </cell>
        </row>
        <row r="199">
          <cell r="B199" t="str">
            <v>PT. Sun Star Motor Nganjuk</v>
          </cell>
          <cell r="C199" t="str">
            <v>Perdagangan</v>
          </cell>
          <cell r="D199" t="str">
            <v>Jl. Gatot Subroto No.103, Kauman, Kec. Nganjuk, Kabupaten Nganjuk</v>
          </cell>
          <cell r="E199" t="str">
            <v>081226624202</v>
          </cell>
          <cell r="F199">
            <v>18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 t="str">
            <v>K</v>
          </cell>
        </row>
        <row r="200">
          <cell r="B200" t="str">
            <v>PT. Kastubin Jaya Raya</v>
          </cell>
          <cell r="C200" t="str">
            <v>Perdagangan</v>
          </cell>
          <cell r="D200" t="str">
            <v>Jl. Raya Baron No.1A RT.002 RW.003, Ds. Baron, Kec. Baron, Kab. Nganjuk</v>
          </cell>
          <cell r="E200" t="str">
            <v>(0358) 7701105</v>
          </cell>
          <cell r="F200">
            <v>21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 t="str">
            <v>K</v>
          </cell>
        </row>
        <row r="201">
          <cell r="B201" t="str">
            <v>UD. Jatimakmur Sejahtera, Bagor</v>
          </cell>
          <cell r="C201" t="str">
            <v>Perdagangan</v>
          </cell>
          <cell r="D201" t="str">
            <v>Bagorkajan, Bagor Kulon, Kec. Bagor, Kabupaten Nganjuk</v>
          </cell>
          <cell r="E201" t="str">
            <v>081335509343</v>
          </cell>
          <cell r="F201">
            <v>7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 t="str">
            <v>MI</v>
          </cell>
        </row>
        <row r="202">
          <cell r="B202" t="str">
            <v>KSP BPR Artha Pamenang, Nganjuk</v>
          </cell>
          <cell r="C202" t="str">
            <v>Keuangan</v>
          </cell>
          <cell r="D202" t="str">
            <v>Jl. Ahmad Yani No.280B, Payaman, Kartoharjo, Kec. Nganjuk, Kab. Nganjuk</v>
          </cell>
          <cell r="E202" t="str">
            <v>(0358) 325332</v>
          </cell>
          <cell r="F202">
            <v>24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 t="str">
            <v>K</v>
          </cell>
        </row>
        <row r="203">
          <cell r="B203" t="str">
            <v>PT. Sumber Anom Indonesia, Tanjunganom</v>
          </cell>
          <cell r="C203" t="str">
            <v>Perdagangan</v>
          </cell>
          <cell r="D203" t="str">
            <v>Jln. Ahmad Yani 201, Lingkungan Pelem RT/RW:002/001, Warujayeng, Kec. Tanjunganom, Kabupaten Nganjuk, Jawa Timur</v>
          </cell>
          <cell r="E203">
            <v>0</v>
          </cell>
          <cell r="F203">
            <v>39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 t="str">
            <v>M</v>
          </cell>
        </row>
        <row r="204">
          <cell r="B204" t="str">
            <v>PT. Duta Makmur Bersama, Sukomoro</v>
          </cell>
          <cell r="C204" t="str">
            <v>Jasa</v>
          </cell>
          <cell r="D204" t="str">
            <v>Nganjuk</v>
          </cell>
          <cell r="E204">
            <v>0</v>
          </cell>
          <cell r="F204">
            <v>1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 t="str">
            <v>MI</v>
          </cell>
        </row>
        <row r="205">
          <cell r="B205" t="str">
            <v>Sabda Alam, Kertosono</v>
          </cell>
          <cell r="C205" t="str">
            <v>Jasa</v>
          </cell>
          <cell r="D205" t="str">
            <v>Jl. Raya Surabaya - Madiun KM.99 Dsn. Klinter, Pelem, Kertosono</v>
          </cell>
          <cell r="E205" t="str">
            <v>(0358) 7612552</v>
          </cell>
          <cell r="F205">
            <v>354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 t="str">
            <v>B</v>
          </cell>
        </row>
        <row r="206">
          <cell r="B206" t="str">
            <v>PT. Arja Kayu Lapis</v>
          </cell>
          <cell r="C206" t="str">
            <v>Industri</v>
          </cell>
          <cell r="D206" t="str">
            <v>Jl. Raya Surabaya - Madiun Jl. Raya Plimping, Gebangkerep, Baron, Nganjuk</v>
          </cell>
          <cell r="E206" t="str">
            <v>082337829509</v>
          </cell>
          <cell r="F206">
            <v>98</v>
          </cell>
          <cell r="G206">
            <v>0</v>
          </cell>
          <cell r="H206">
            <v>43</v>
          </cell>
          <cell r="I206">
            <v>0</v>
          </cell>
          <cell r="J206">
            <v>0</v>
          </cell>
          <cell r="K206">
            <v>0</v>
          </cell>
          <cell r="L206" t="str">
            <v>S</v>
          </cell>
        </row>
        <row r="207">
          <cell r="B207" t="str">
            <v>PT. Sinar Jaya Prima Perkasa</v>
          </cell>
          <cell r="C207" t="str">
            <v>Perdagangan</v>
          </cell>
          <cell r="D207" t="str">
            <v>Jl. Lengkong - Jatikalen, Jegreg, Kec. Lengkong, Kabupaten Nganjuk</v>
          </cell>
          <cell r="E207" t="str">
            <v>0817334280</v>
          </cell>
          <cell r="F207">
            <v>104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 t="str">
            <v>S</v>
          </cell>
        </row>
        <row r="208">
          <cell r="B208" t="str">
            <v>PT. Bina Prima Mitra Abadi</v>
          </cell>
          <cell r="C208" t="str">
            <v>Industri</v>
          </cell>
          <cell r="D208" t="str">
            <v>Nganjuk</v>
          </cell>
          <cell r="E208">
            <v>0</v>
          </cell>
          <cell r="F208">
            <v>25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 t="str">
            <v>M</v>
          </cell>
        </row>
        <row r="209">
          <cell r="B209" t="str">
            <v>PR. Putra Masa Depan</v>
          </cell>
          <cell r="C209" t="str">
            <v>Industri</v>
          </cell>
          <cell r="D209" t="str">
            <v>Jl. Warujayeng - Nganjuk, Jegles, Plosoharjo, Kec. Pace, Kabupaten Nganjuk, Jawa Timur</v>
          </cell>
          <cell r="E209">
            <v>0</v>
          </cell>
          <cell r="F209">
            <v>300</v>
          </cell>
          <cell r="G209">
            <v>0</v>
          </cell>
          <cell r="H209">
            <v>8</v>
          </cell>
          <cell r="I209">
            <v>0</v>
          </cell>
          <cell r="J209">
            <v>0</v>
          </cell>
          <cell r="K209">
            <v>0</v>
          </cell>
          <cell r="L209" t="str">
            <v>B</v>
          </cell>
        </row>
        <row r="210">
          <cell r="B210" t="str">
            <v>CV. Risqi Lumintu Plywood</v>
          </cell>
          <cell r="C210" t="str">
            <v>Industri</v>
          </cell>
          <cell r="D210" t="str">
            <v>Dsn. Ngetrep RT.06 RW.02 Ds.Kurungrejo Kec.Prambon Kab.Nganjuk</v>
          </cell>
          <cell r="E210">
            <v>0</v>
          </cell>
          <cell r="F210">
            <v>70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 t="str">
            <v>S</v>
          </cell>
        </row>
        <row r="211">
          <cell r="B211" t="str">
            <v>PR. Putra Samsu Maswidjoyo</v>
          </cell>
          <cell r="C211" t="str">
            <v>Industri</v>
          </cell>
          <cell r="D211" t="str">
            <v>Nganjuk</v>
          </cell>
          <cell r="E211">
            <v>0</v>
          </cell>
          <cell r="F211">
            <v>35</v>
          </cell>
          <cell r="G211">
            <v>0</v>
          </cell>
          <cell r="H211">
            <v>39</v>
          </cell>
          <cell r="I211">
            <v>0</v>
          </cell>
          <cell r="J211">
            <v>0</v>
          </cell>
          <cell r="K211">
            <v>0</v>
          </cell>
          <cell r="L211" t="str">
            <v>M</v>
          </cell>
        </row>
        <row r="212">
          <cell r="B212" t="str">
            <v>PR. Tunggal Sedjarah Mas</v>
          </cell>
          <cell r="C212" t="str">
            <v>Industri</v>
          </cell>
          <cell r="D212" t="str">
            <v>Kp. Dalem, Kacangan, Berbek, Nganjuk</v>
          </cell>
          <cell r="E212" t="str">
            <v>081333375861</v>
          </cell>
          <cell r="F212">
            <v>48</v>
          </cell>
          <cell r="G212">
            <v>0</v>
          </cell>
          <cell r="H212">
            <v>39</v>
          </cell>
          <cell r="I212">
            <v>0</v>
          </cell>
          <cell r="J212">
            <v>0</v>
          </cell>
          <cell r="K212">
            <v>0</v>
          </cell>
          <cell r="L212" t="str">
            <v>M</v>
          </cell>
        </row>
        <row r="213">
          <cell r="B213" t="str">
            <v>Berkat Anugerahnya</v>
          </cell>
          <cell r="C213" t="str">
            <v>Jasa</v>
          </cell>
          <cell r="D213" t="str">
            <v>Nganjuk</v>
          </cell>
          <cell r="E213">
            <v>0</v>
          </cell>
          <cell r="F213">
            <v>53</v>
          </cell>
          <cell r="G213">
            <v>0</v>
          </cell>
          <cell r="H213">
            <v>53</v>
          </cell>
          <cell r="I213">
            <v>0</v>
          </cell>
          <cell r="J213">
            <v>0</v>
          </cell>
          <cell r="K213">
            <v>0</v>
          </cell>
          <cell r="L213" t="str">
            <v>S</v>
          </cell>
        </row>
        <row r="214">
          <cell r="B214" t="str">
            <v>PT. Karya Bintang Mandiri</v>
          </cell>
          <cell r="C214" t="str">
            <v>Industri</v>
          </cell>
          <cell r="D214" t="str">
            <v>Nganjuk</v>
          </cell>
          <cell r="E214">
            <v>0</v>
          </cell>
          <cell r="F214">
            <v>277</v>
          </cell>
          <cell r="G214">
            <v>0</v>
          </cell>
          <cell r="H214">
            <v>277</v>
          </cell>
          <cell r="I214">
            <v>0</v>
          </cell>
          <cell r="J214">
            <v>0</v>
          </cell>
          <cell r="K214">
            <v>0</v>
          </cell>
          <cell r="L214" t="str">
            <v>B</v>
          </cell>
        </row>
        <row r="215">
          <cell r="B215" t="str">
            <v>PT. Tsamaniya Amanah Mandiri</v>
          </cell>
          <cell r="C215" t="str">
            <v>Perdagangan</v>
          </cell>
          <cell r="D215" t="str">
            <v>JL.PANGLIMA SUDIRMAN NO.142 Kabupaten Nganjuk</v>
          </cell>
          <cell r="E215">
            <v>0</v>
          </cell>
          <cell r="F215">
            <v>55</v>
          </cell>
          <cell r="G215">
            <v>0</v>
          </cell>
          <cell r="H215">
            <v>55</v>
          </cell>
          <cell r="I215">
            <v>0</v>
          </cell>
          <cell r="J215">
            <v>0</v>
          </cell>
          <cell r="K215">
            <v>0</v>
          </cell>
          <cell r="L215" t="str">
            <v>S</v>
          </cell>
        </row>
        <row r="216">
          <cell r="B216" t="str">
            <v>Klinik Adi Amerta</v>
          </cell>
          <cell r="C216" t="str">
            <v>Jasa</v>
          </cell>
          <cell r="D216" t="str">
            <v>Balong Gebang, Balonggebang, Kec. Gondang, Kabupaten Nganjuk</v>
          </cell>
          <cell r="E216" t="str">
            <v>(0358) 5614044</v>
          </cell>
          <cell r="F216">
            <v>28</v>
          </cell>
          <cell r="G216">
            <v>0</v>
          </cell>
          <cell r="H216">
            <v>28</v>
          </cell>
          <cell r="I216">
            <v>0</v>
          </cell>
          <cell r="J216">
            <v>0</v>
          </cell>
          <cell r="K216">
            <v>0</v>
          </cell>
          <cell r="L216" t="str">
            <v>M</v>
          </cell>
        </row>
        <row r="217">
          <cell r="B217" t="str">
            <v>PT. Trijaya Adymix Cab. Nganjuk</v>
          </cell>
          <cell r="C217" t="str">
            <v>Industri</v>
          </cell>
          <cell r="D217" t="str">
            <v xml:space="preserve">Jl. Raya Bagor, Bagorkajan, Bagor Kulon, Bagor, Kabupaten Nganjuk </v>
          </cell>
          <cell r="E217" t="str">
            <v>081331601999</v>
          </cell>
          <cell r="F217">
            <v>25</v>
          </cell>
          <cell r="G217">
            <v>0</v>
          </cell>
          <cell r="H217">
            <v>13</v>
          </cell>
          <cell r="I217">
            <v>0</v>
          </cell>
          <cell r="J217">
            <v>0</v>
          </cell>
          <cell r="K217">
            <v>0</v>
          </cell>
          <cell r="L217" t="str">
            <v>K</v>
          </cell>
        </row>
        <row r="218">
          <cell r="B218" t="str">
            <v>Sedayu Agung</v>
          </cell>
          <cell r="C218" t="str">
            <v>Perdagangan</v>
          </cell>
          <cell r="D218" t="str">
            <v>Kertosono, Jawa Timur</v>
          </cell>
          <cell r="E218">
            <v>0</v>
          </cell>
          <cell r="F218">
            <v>13</v>
          </cell>
          <cell r="G218">
            <v>0</v>
          </cell>
          <cell r="H218">
            <v>12</v>
          </cell>
          <cell r="I218">
            <v>0</v>
          </cell>
          <cell r="J218">
            <v>0</v>
          </cell>
          <cell r="K218">
            <v>0</v>
          </cell>
          <cell r="L218" t="str">
            <v>K</v>
          </cell>
        </row>
        <row r="219">
          <cell r="B219" t="str">
            <v>KSP Bintang Jaya Sejahtera</v>
          </cell>
          <cell r="C219" t="str">
            <v>Keuangan</v>
          </cell>
          <cell r="D219" t="str">
            <v>Jl. Raya Kediri G4, Loceret, Godean, Kec. Loceret, Kabupaten Nganjuk</v>
          </cell>
          <cell r="E219" t="str">
            <v>(0358) 328750</v>
          </cell>
          <cell r="F219">
            <v>10</v>
          </cell>
          <cell r="G219">
            <v>0</v>
          </cell>
          <cell r="H219">
            <v>10</v>
          </cell>
          <cell r="I219">
            <v>0</v>
          </cell>
          <cell r="J219">
            <v>0</v>
          </cell>
          <cell r="K219">
            <v>0</v>
          </cell>
          <cell r="L219" t="str">
            <v>K</v>
          </cell>
        </row>
        <row r="220">
          <cell r="B220" t="str">
            <v>Mitra Artha Niaga</v>
          </cell>
          <cell r="C220" t="str">
            <v>Keuangan</v>
          </cell>
          <cell r="D220" t="str">
            <v>Gondang Kulon, Gondangkulon, Kec. Gondang, Kabupaten Nganjuk,</v>
          </cell>
          <cell r="E220" t="str">
            <v>085816549050</v>
          </cell>
          <cell r="F220">
            <v>9</v>
          </cell>
          <cell r="G220">
            <v>0</v>
          </cell>
          <cell r="H220">
            <v>9</v>
          </cell>
          <cell r="I220">
            <v>0</v>
          </cell>
          <cell r="J220">
            <v>0</v>
          </cell>
          <cell r="K220">
            <v>0</v>
          </cell>
          <cell r="L220" t="str">
            <v>MI</v>
          </cell>
        </row>
        <row r="221">
          <cell r="B221" t="str">
            <v>Karya Jaya</v>
          </cell>
          <cell r="C221" t="str">
            <v>Jasa</v>
          </cell>
          <cell r="D221" t="str">
            <v>Jl. Merapi No. 53 Ds. Sukorejo Kec. Loceret, Kab. Nganjuk</v>
          </cell>
          <cell r="E221" t="str">
            <v>(0358)326941</v>
          </cell>
          <cell r="F221">
            <v>2</v>
          </cell>
          <cell r="G221">
            <v>0</v>
          </cell>
          <cell r="H221">
            <v>2</v>
          </cell>
          <cell r="I221">
            <v>0</v>
          </cell>
          <cell r="J221">
            <v>0</v>
          </cell>
          <cell r="K221">
            <v>0</v>
          </cell>
          <cell r="L221" t="str">
            <v>MI</v>
          </cell>
        </row>
        <row r="222">
          <cell r="B222" t="str">
            <v>Citra Mandiri</v>
          </cell>
          <cell r="C222" t="str">
            <v>Perdagangan</v>
          </cell>
          <cell r="D222" t="str">
            <v xml:space="preserve"> Dsn. Kedungbulu Ds. Ngadiboyo Kec. Rejoso</v>
          </cell>
          <cell r="E222" t="str">
            <v>(0358)326941</v>
          </cell>
          <cell r="F222">
            <v>2</v>
          </cell>
          <cell r="G222">
            <v>0</v>
          </cell>
          <cell r="H222">
            <v>2</v>
          </cell>
          <cell r="I222">
            <v>0</v>
          </cell>
          <cell r="J222">
            <v>0</v>
          </cell>
          <cell r="K222">
            <v>0</v>
          </cell>
          <cell r="L222" t="str">
            <v>MI</v>
          </cell>
        </row>
        <row r="223">
          <cell r="B223" t="str">
            <v>Trijaya Lestari Food</v>
          </cell>
          <cell r="C223" t="str">
            <v>Perdagangan</v>
          </cell>
          <cell r="D223" t="str">
            <v>Prayungan, Kec. Lengkong, Kabupaten Nganjuk</v>
          </cell>
          <cell r="E223" t="str">
            <v>08123044685</v>
          </cell>
          <cell r="F223">
            <v>114</v>
          </cell>
          <cell r="G223">
            <v>0</v>
          </cell>
          <cell r="H223">
            <v>99</v>
          </cell>
          <cell r="I223">
            <v>0</v>
          </cell>
          <cell r="J223">
            <v>0</v>
          </cell>
          <cell r="K223">
            <v>0</v>
          </cell>
          <cell r="L223" t="str">
            <v>S</v>
          </cell>
        </row>
        <row r="224">
          <cell r="B224" t="str">
            <v>Rimba Damai Sejahtera-Borongan</v>
          </cell>
          <cell r="C224" t="str">
            <v>Industri</v>
          </cell>
          <cell r="D224" t="str">
            <v>Jl. Panglima Sudirman, Kabupaten Nganjuk, Kabupaten Nganjuk</v>
          </cell>
          <cell r="E224" t="str">
            <v>081359234569</v>
          </cell>
          <cell r="F224">
            <v>295</v>
          </cell>
          <cell r="G224">
            <v>0</v>
          </cell>
          <cell r="H224">
            <v>73</v>
          </cell>
          <cell r="I224">
            <v>0</v>
          </cell>
          <cell r="J224">
            <v>0</v>
          </cell>
          <cell r="K224">
            <v>0</v>
          </cell>
          <cell r="L224" t="str">
            <v>S</v>
          </cell>
        </row>
        <row r="225">
          <cell r="B225" t="str">
            <v>PT. Capglobal Industry International 2</v>
          </cell>
          <cell r="C225" t="str">
            <v>Industri</v>
          </cell>
          <cell r="D225" t="str">
            <v>Jl. Raya Madiun, Barong, Mungkung, Kec. Loceret, Kabupaten Nganjuk</v>
          </cell>
          <cell r="E225" t="str">
            <v>(0358) 3518881</v>
          </cell>
          <cell r="F225">
            <v>158</v>
          </cell>
          <cell r="G225">
            <v>0</v>
          </cell>
          <cell r="H225">
            <v>36</v>
          </cell>
          <cell r="I225">
            <v>0</v>
          </cell>
          <cell r="J225" t="str">
            <v>√</v>
          </cell>
          <cell r="K225" t="str">
            <v>√</v>
          </cell>
          <cell r="L225" t="str">
            <v>M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CV.+RIO+KARYA+WOOD/@-7.6757831,112.0277594,17z/data=!3m1!4b1!4m6!3m5!1s0x2e784f9bdb73f55f:0x3328178f2baed70b!8m2!3d-7.6757884!4d112.0303343!16s%2Fg%2F11g8cy7r0r?entry=ttu" TargetMode="External"/><Relationship Id="rId13" Type="http://schemas.openxmlformats.org/officeDocument/2006/relationships/hyperlink" Target="https://www.google.com/maps/place/PT.+EAGLE+SPORTING+GOODS/@-7.5825832,111.872668,17z/data=!3m1!4b1!4m6!3m5!1s0x2e784bf5e68e7c97:0x412e65a069d00496!8m2!3d-7.5825885!4d111.8752429!16s%2Fg%2F11j2z660wx?entry=ttu" TargetMode="External"/><Relationship Id="rId18" Type="http://schemas.openxmlformats.org/officeDocument/2006/relationships/hyperlink" Target="https://www.google.com/maps/place/PT.+ARJA+KAYULAPIS+INDONESIA/@-7.6074989,112.0687705,17z/data=!3m1!4b1!4m6!3m5!1s0x2e78474c2a51d8b3:0xdbcff7a0e0ec2294!8m2!3d-7.6075042!4d112.0713454!16s%2Fg%2F11p16dlhz8?entry=ttu" TargetMode="External"/><Relationship Id="rId26" Type="http://schemas.openxmlformats.org/officeDocument/2006/relationships/hyperlink" Target="https://www.google.com/maps/place/PT+KERTA+RAJASA+RAYA/@-7.5543445,111.9124792,17z/data=!3m1!4b1!4m6!3m5!1s0x2e784a778597549b:0x32f6d1ef25768bf0!8m2!3d-7.5543498!4d111.9150541!16s%2Fg%2F11c1z7ckhg?entry=ttu" TargetMode="External"/><Relationship Id="rId39" Type="http://schemas.openxmlformats.org/officeDocument/2006/relationships/hyperlink" Target="https://www.google.com/maps/dir/-7.6111328,111.9053941/PT.+Sumber+Alfaria+Trijaya,+Tbk+tanjunganom/@-7.6197675,111.8787074,12z/data=!3m1!4b1!4m9!4m8!1m1!4e1!1m5!1m1!1s0x2e7848c9ad910517:0x9f3e6374bea0ced5!2m2!1d112.0186318!2d-7.6292558?entry=ttu" TargetMode="External"/><Relationship Id="rId3" Type="http://schemas.openxmlformats.org/officeDocument/2006/relationships/hyperlink" Target="https://www.google.com/maps/place/CV.+Andhini+Duta+Petani/@-7.5569547,111.8603431,17z/data=!3m1!4b1!4m6!3m5!1s0x2e784bcdb39e08b7:0x7aa88327010916d2!8m2!3d-7.55696!4d111.862918!16s%2Fg%2F11h77m3fn3?entry=ttu" TargetMode="External"/><Relationship Id="rId21" Type="http://schemas.openxmlformats.org/officeDocument/2006/relationships/hyperlink" Target="https://www.google.com/maps/place/Rumah+Sakit+Islam+Aisyiyah/@-7.6108676,111.9032514,17z/data=!3m1!4b1!4m6!3m5!1s0x2e784ba095242f31:0x7512299f881344c3!8m2!3d-7.6108729!4d111.9058263!16s%2Fg%2F11c1wk2bb5?entry=ttu" TargetMode="External"/><Relationship Id="rId34" Type="http://schemas.openxmlformats.org/officeDocument/2006/relationships/hyperlink" Target="https://www.google.com/maps/place/PT+Sinergi+Gula+Nusantara/@-7.2379642,112.7347735,17z/data=!3m1!4b1!4m6!3m5!1s0x2dd7f93cc74650a9:0xefdbe35c9fef2f19!8m2!3d-7.2379695!4d112.7373484!16s%2Fg%2F11s21kvnct?entry=ttu" TargetMode="External"/><Relationship Id="rId7" Type="http://schemas.openxmlformats.org/officeDocument/2006/relationships/hyperlink" Target="https://www.google.com/maps/place/CV.+CAHAYA+GEMILANG+INDAH/@-7.6536062,111.878613,17z/data=!3m1!4b1!4m6!3m5!1s0x2e784c9585b4c3c7:0x3c4fa55d7497defd!8m2!3d-7.6536115!4d111.8811879!16s%2Fg%2F11ddwyg88j?entry=ttu" TargetMode="External"/><Relationship Id="rId12" Type="http://schemas.openxmlformats.org/officeDocument/2006/relationships/hyperlink" Target="https://www.google.com/maps/place/PT.+Gunawan+Fajar/@-7.5302975,112.0805336,17z/data=!3m1!4b1!4m6!3m5!1s0x2e78386f609850cf:0x9619c2b3aabe412f!8m2!3d-7.5303028!4d112.0831085!16s%2Fg%2F11c1rd88p6?entry=ttu" TargetMode="External"/><Relationship Id="rId17" Type="http://schemas.openxmlformats.org/officeDocument/2006/relationships/hyperlink" Target="https://www.google.com/maps/place/Sinar+Jaya+Prima+Perkasa,+PT/@-7.5312242,112.0811164,17z/data=!3m1!4b1!4m6!3m5!1s0x2e78386586b63849:0xed8a03f5fed6b8b7!8m2!3d-7.5312295!4d112.0836913!16s%2Fg%2F11f3p1qx2t?entry=ttu" TargetMode="External"/><Relationship Id="rId25" Type="http://schemas.openxmlformats.org/officeDocument/2006/relationships/hyperlink" Target="https://www.google.com/maps/place/PT+SUKSES+ABADI+INDONESIA/@-7.5295214,111.9616639,17z/data=!3m1!4b1!4m6!3m5!1s0x2e78371473a55b35:0x2d2f47963ff1c333!8m2!3d-7.5295267!4d111.9642388!16s%2Fg%2F11nx2v0_np?entry=ttu" TargetMode="External"/><Relationship Id="rId33" Type="http://schemas.openxmlformats.org/officeDocument/2006/relationships/hyperlink" Target="https://www.google.com/maps/place/PT.+SUMBER+PLAST+INDO/@-7.6049028,111.9914643,17z/data=!3m1!4b1!4m6!3m5!1s0x2e78491eaaa51d01:0xb6eeb8ab2e900c11!8m2!3d-7.6049081!4d111.9940392!16s%2Fg%2F11dxk_syt8?entry=ttu" TargetMode="External"/><Relationship Id="rId38" Type="http://schemas.openxmlformats.org/officeDocument/2006/relationships/hyperlink" Target="https://www.google.com/maps/search/PT.+Kharisma+Baru+Indonesia,+Bagor/@-7.5568623,111.821718,13z/data=!3m1!4b1?entry=ttu" TargetMode="External"/><Relationship Id="rId2" Type="http://schemas.openxmlformats.org/officeDocument/2006/relationships/hyperlink" Target="https://www.google.com/maps/dir/-7.6111328,111.9053941/pt.+indoprima+gemilang+plant+1+nganjuk/@-7.6155552,111.8210951,11z/data=!3m1!4b1!4m9!4m8!1m1!4e1!1m5!1m1!1s0x2e784615820a8677:0xb35a15cac1ed6f0e!2m2!1d112.0681915!2d-7.6066775?entry=ttu" TargetMode="External"/><Relationship Id="rId16" Type="http://schemas.openxmlformats.org/officeDocument/2006/relationships/hyperlink" Target="https://www.google.com/maps/place/Pt+putra+masa+depan/@-7.6566679,111.9510829,17z/data=!3m1!4b1!4m6!3m5!1s0x2e784f0071ca64f7:0x9fdabcdb18d56dc7!8m2!3d-7.6566732!4d111.9536578!16s%2Fg%2F11y36wpqbn?entry=ttu" TargetMode="External"/><Relationship Id="rId20" Type="http://schemas.openxmlformats.org/officeDocument/2006/relationships/hyperlink" Target="https://www.google.com/maps/place/PT.+Multi+Farmindo+Jaya/@-7.4995321,112.0901189,17z/data=!3m1!4b1!4m6!3m5!1s0x2e7839b3d82fbdb1:0x102970694647e0b9!8m2!3d-7.4995374!4d112.0926938!16s%2Fg%2F11j8pbflrp?entry=ttu" TargetMode="External"/><Relationship Id="rId29" Type="http://schemas.openxmlformats.org/officeDocument/2006/relationships/hyperlink" Target="https://www.google.com/maps/place/PT+Bayu+Bagus+Bakery/@-7.5669756,112.0709405,17z/data=!3m1!4b1!4m6!3m5!1s0x2e784722817720c9:0x3e38723c61e85a20!8m2!3d-7.5669809!4d112.0735154!16s%2Fg%2F11h_w2d2v9?entry=ttu" TargetMode="External"/><Relationship Id="rId1" Type="http://schemas.openxmlformats.org/officeDocument/2006/relationships/hyperlink" Target="https://www.google.com/maps/dir/Sidokare,+Kec.+Rejoso,+Kabupaten+Nganjuk,+Jawa+Timur+64453/@-7.5611488,111.7981798,12z/data=!4m8!4m7!1m0!1m5!1m1!1s0x2e784aa2735b72e1:0xafb737121bca271a!2m2!1d111.8805815!2d-7.5611564?entry=ttu" TargetMode="External"/><Relationship Id="rId6" Type="http://schemas.openxmlformats.org/officeDocument/2006/relationships/hyperlink" Target="https://www.google.com/maps/place/CV.Borobudur+prima+s./@-7.601088,111.8841155,17z/data=!3m1!4b1!4m6!3m5!1s0x2e784bfab2e3b7e1:0x7455d9c9358505c4!8m2!3d-7.6010933!4d111.8866904!16s%2Fg%2F11rxjpjzhj?entry=ttu" TargetMode="External"/><Relationship Id="rId11" Type="http://schemas.openxmlformats.org/officeDocument/2006/relationships/hyperlink" Target="https://www.google.com/maps/place/CV+SINAR+BAJA+ELECTRIC+3+(NGANJUK,LENGKONG)/@-7.5307399,112.0792328,17z/data=!3m1!4b1!4m6!3m5!1s0x2e7839a814e47af3:0x5b9d5c62bfe7108c!8m2!3d-7.5307452!4d112.0818077!16s%2Fg%2F11rvcpl7nd?entry=ttu" TargetMode="External"/><Relationship Id="rId24" Type="http://schemas.openxmlformats.org/officeDocument/2006/relationships/hyperlink" Target="https://www.google.com/maps/place/Mega+Elektronik+dan+Handphone+Nganjuk/@-7.6051957,111.8977487,17z/data=!3m1!4b1!4m6!3m5!1s0x2e784b0404113263:0xabeda2c53f3e85a8!8m2!3d-7.605201!4d111.9003236!16s%2Fg%2F1hm56zdxt?entry=ttu" TargetMode="External"/><Relationship Id="rId32" Type="http://schemas.openxmlformats.org/officeDocument/2006/relationships/hyperlink" Target="https://www.google.com/maps/place/PR.+Cengkir+Gading/@-7.5862368,111.8891277,17z/data=!3m1!4b1!4m6!3m5!1s0x2e784ae5475e0da9:0x9352dd69cb8e6ec5!8m2!3d-7.5862421!4d111.8917026!16s%2Fg%2F1tcwc2_y?entry=ttu" TargetMode="External"/><Relationship Id="rId37" Type="http://schemas.openxmlformats.org/officeDocument/2006/relationships/hyperlink" Target="https://www.google.com/maps/place/PT.+Tirta+Sukses+Perkasa/@-7.6011707,111.9311769,17z/data=!3m1!4b1!4m6!3m5!1s0x2e784bc8ce23a985:0xeda54a86b2af5b00!8m2!3d-7.601176!4d111.9337518!16s%2Fg%2F11cp7921r4?entry=ttu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www.google.com/maps/place/PT.+Zhanhui+Jaya+Indonesia/@-7.5643401,111.8379889,17z/data=!3m1!4b1!4m6!3m5!1s0x2e79b5de0c32e471:0xc5ab0cd4c6c26e76!8m2!3d-7.5643454!4d111.8405638!16s%2Fg%2F11rk8vzwm6?entry=ttu" TargetMode="External"/><Relationship Id="rId15" Type="http://schemas.openxmlformats.org/officeDocument/2006/relationships/hyperlink" Target="https://www.google.com/maps/place/RPA+Lengkong+PT+Trijaya+Lestari+Food,+Bintang+Lima/@-7.5244098,112.0911039,17z/data=!3m1!4b1!4m6!3m5!1s0x2e7838606c784501:0x61286960f40ec3ad!8m2!3d-7.5244151!4d112.0936788!16s%2Fg%2F11f3vljsw9?entry=ttu" TargetMode="External"/><Relationship Id="rId23" Type="http://schemas.openxmlformats.org/officeDocument/2006/relationships/hyperlink" Target="https://www.google.com/maps/place/PDAM+Kabupaten+Nganjuk/@-7.6111212,111.9016388,17z/data=!3m1!4b1!4m6!3m5!1s0x2e784b0a7401ae3d:0xc3f5b0bd3f0fda5b!8m2!3d-7.6111265!4d111.9042137!16s%2Fg%2F1s04bryzz?entry=ttu" TargetMode="External"/><Relationship Id="rId28" Type="http://schemas.openxmlformats.org/officeDocument/2006/relationships/hyperlink" Target="https://www.google.com/maps/place/Hutama-Bangunnusa,KSO/@-7.4966148,111.8928086,17z/data=!3m1!4b1!4m6!3m5!1s0x2e7835ace401b3d9:0xd4f8d21419d8725d!8m2!3d-7.4966201!4d111.8953835!16s%2Fg%2F11hdtts3_9?entry=ttu" TargetMode="External"/><Relationship Id="rId36" Type="http://schemas.openxmlformats.org/officeDocument/2006/relationships/hyperlink" Target="https://www.google.com/maps/place/PT.+Lotus+Indah+Textile/@-7.6038542,111.9711593,17z/data=!3m1!4b1!4m6!3m5!1s0x2e784a5710656f71:0x3d3aabe378d5fd6a!8m2!3d-7.6038595!4d111.9737342!16s%2Fg%2F11s5bwds7q?entry=ttu" TargetMode="External"/><Relationship Id="rId10" Type="http://schemas.openxmlformats.org/officeDocument/2006/relationships/hyperlink" Target="https://www.google.com/maps/place/PT+Kapasari+Printing/@-7.6034696,112.0188912,17z/data=!3m1!4b1!4m6!3m5!1s0x2e7849baa842f217:0x1a12e8d73f0c39d8!8m2!3d-7.6034749!4d112.0214661!16s%2Fg%2F11fsz2wdjq?entry=ttu" TargetMode="External"/><Relationship Id="rId19" Type="http://schemas.openxmlformats.org/officeDocument/2006/relationships/hyperlink" Target="https://www.google.com/maps/place/PT+Wonokoyo+Hatchery+Nganjuk/@-7.5012647,112.1323315,17z/data=!3m1!4b1!4m6!3m5!1s0x2e783929d711217d:0x863e9a1e59652726!8m2!3d-7.50127!4d112.1349064!16s%2Fg%2F11c2y42jp9?entry=ttu" TargetMode="External"/><Relationship Id="rId31" Type="http://schemas.openxmlformats.org/officeDocument/2006/relationships/hyperlink" Target="https://www.google.com/maps/place/Perum+Perhutani+KPH+Nganjuk/@-7.6033797,111.8992717,17z/data=!3m1!4b1!4m6!3m5!1s0x2e784b07b58ae7ed:0xcd76227bd3b5d3!8m2!3d-7.603385!4d111.9018466!16s%2Fg%2F11btt6p2g8?entry=ttu" TargetMode="External"/><Relationship Id="rId4" Type="http://schemas.openxmlformats.org/officeDocument/2006/relationships/hyperlink" Target="https://www.google.com/maps/place/PT.+Sabda+Alam/@-7.6040953,112.0820957,17z/data=!3m1!4b1!4m6!3m5!1s0x2e78465d3f43ab71:0xc589529229571acb!8m2!3d-7.6041006!4d112.0846706!16s%2Fg%2F11c2k2j2gb?entry=ttu" TargetMode="External"/><Relationship Id="rId9" Type="http://schemas.openxmlformats.org/officeDocument/2006/relationships/hyperlink" Target="https://www.google.com/maps/place/PT.+Kertas+Jaya+Jaker/@-7.6047033,112.0832166,17z/data=!3m1!4b1!4m6!3m5!1s0x2e784667a341d847:0x10ea762e634e0663!8m2!3d-7.6047086!4d112.0857915!16s%2Fg%2F11clvq8sk7?entry=ttu" TargetMode="External"/><Relationship Id="rId14" Type="http://schemas.openxmlformats.org/officeDocument/2006/relationships/hyperlink" Target="https://www.google.com/maps/place/PT.+Mitramulia+Makmur+Nganjuk/@-7.5364991,112.0263457,17z/data=!3m1!4b1!4m6!3m5!1s0x2e7837484304c397:0x7c824ad8f52d2de8!8m2!3d-7.5365044!4d112.0289206!16s%2Fg%2F11jnmz60j7?entry=ttu" TargetMode="External"/><Relationship Id="rId22" Type="http://schemas.openxmlformats.org/officeDocument/2006/relationships/hyperlink" Target="https://www.google.com/maps/place/PT.+Mitra+Saruta+Indonesia/@-7.5588847,111.9118323,17z/data=!3m1!4b1!4m6!3m5!1s0x2e784a797ff8836f:0x5d518b02fd9f462e!8m2!3d-7.55889!4d111.9144072!16s%2Fg%2F11bxj9qhq0?entry=ttu" TargetMode="External"/><Relationship Id="rId27" Type="http://schemas.openxmlformats.org/officeDocument/2006/relationships/hyperlink" Target="https://www.google.com/maps/place/WOM+Finance+Cabang+Nganjuk/@-7.595169,111.892555,17z/data=!3m1!4b1!4m6!3m5!1s0x2e784bf436980bc3:0x3504b3dcaaf4903a!8m2!3d-7.5951743!4d111.8951299!16s%2Fg%2F11r_x3bc94?entry=ttu" TargetMode="External"/><Relationship Id="rId30" Type="http://schemas.openxmlformats.org/officeDocument/2006/relationships/hyperlink" Target="https://www.google.com/maps/place/BFI+NGANJUK/@-7.5955103,111.8930877,17z/data=!3m1!4b1!4m6!3m5!1s0x2e784b4add333fa7:0xb1c341c653dec49c!8m2!3d-7.5955156!4d111.8956626!16s%2Fg%2F11gjt8nn01?entry=ttu" TargetMode="External"/><Relationship Id="rId35" Type="http://schemas.openxmlformats.org/officeDocument/2006/relationships/hyperlink" Target="https://www.google.com/maps/place/PT+Langgeng+Jaya+Makmur/@-7.5833774,111.8760005,17z/data=!3m1!4b1!4m6!3m5!1s0x2e784ac2f33ed44b:0xc12557a457d325c!8m2!3d-7.5833827!4d111.8785754!16s%2Fg%2F1hm1wv1x6?entry=tt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1"/>
  <sheetViews>
    <sheetView tabSelected="1" zoomScale="96" zoomScaleNormal="96" workbookViewId="0">
      <selection activeCell="A4" sqref="A4:A51"/>
    </sheetView>
  </sheetViews>
  <sheetFormatPr defaultRowHeight="15" x14ac:dyDescent="0.25"/>
  <cols>
    <col min="1" max="1" width="11" style="2" customWidth="1"/>
    <col min="2" max="2" width="39.7109375" style="2" customWidth="1"/>
    <col min="3" max="3" width="27.85546875" style="20" customWidth="1"/>
    <col min="4" max="4" width="9.140625" style="30"/>
    <col min="5" max="5" width="38.5703125" style="37" customWidth="1"/>
    <col min="6" max="6" width="60" style="40" customWidth="1"/>
    <col min="7" max="7" width="15.85546875" style="1" customWidth="1"/>
    <col min="8" max="10" width="14.85546875" style="1" customWidth="1"/>
    <col min="11" max="11" width="9.140625" style="1"/>
    <col min="12" max="16384" width="9.140625" style="2"/>
  </cols>
  <sheetData>
    <row r="1" spans="1:11" s="48" customFormat="1" ht="42.75" customHeight="1" x14ac:dyDescent="0.25">
      <c r="A1" s="46" t="s">
        <v>194</v>
      </c>
      <c r="B1" s="43" t="s">
        <v>0</v>
      </c>
      <c r="C1" s="44" t="s">
        <v>1</v>
      </c>
      <c r="D1" s="45" t="s">
        <v>193</v>
      </c>
      <c r="E1" s="46" t="s">
        <v>89</v>
      </c>
      <c r="F1" s="47" t="s">
        <v>90</v>
      </c>
      <c r="G1" s="46" t="s">
        <v>91</v>
      </c>
      <c r="H1" s="46" t="s">
        <v>92</v>
      </c>
      <c r="I1" s="46" t="s">
        <v>93</v>
      </c>
      <c r="J1" s="46" t="s">
        <v>94</v>
      </c>
      <c r="K1" s="46" t="s">
        <v>95</v>
      </c>
    </row>
    <row r="2" spans="1:11" ht="75" x14ac:dyDescent="0.25">
      <c r="A2" s="3" t="s">
        <v>195</v>
      </c>
      <c r="B2" s="4" t="s">
        <v>2</v>
      </c>
      <c r="C2" s="5" t="s">
        <v>53</v>
      </c>
      <c r="D2" s="24">
        <v>83</v>
      </c>
      <c r="E2" s="38" t="s">
        <v>98</v>
      </c>
      <c r="F2" s="36" t="s">
        <v>192</v>
      </c>
      <c r="G2" s="35">
        <f>+VLOOKUP(B2,[1]Sheet2!$B$6:$L$225,6,0)</f>
        <v>0</v>
      </c>
      <c r="H2" s="35">
        <f>+VLOOKUP(B2,[1]Sheet2!$B$6:$L$225,7,0)</f>
        <v>73</v>
      </c>
      <c r="I2" s="35">
        <f>+VLOOKUP(B2,[1]Sheet2!$B$6:$L$225,8,0)</f>
        <v>0</v>
      </c>
      <c r="J2" s="35" t="str">
        <f>+VLOOKUP(B2,[1]Sheet2!$B$6:$L$225,9,0)</f>
        <v>√</v>
      </c>
      <c r="K2" s="35" t="str">
        <f>+VLOOKUP(B2,[1]Sheet2!$B$6:$L$225,10,0)</f>
        <v>√</v>
      </c>
    </row>
    <row r="3" spans="1:11" ht="90" x14ac:dyDescent="0.25">
      <c r="A3" s="24" t="s">
        <v>196</v>
      </c>
      <c r="B3" s="4" t="s">
        <v>3</v>
      </c>
      <c r="C3" s="6" t="s">
        <v>52</v>
      </c>
      <c r="D3" s="24">
        <v>804</v>
      </c>
      <c r="E3" s="38" t="s">
        <v>99</v>
      </c>
      <c r="F3" s="36" t="s">
        <v>191</v>
      </c>
      <c r="G3" s="35">
        <f>+VLOOKUP(B3,[1]Sheet2!$B$6:$L$225,6,0)</f>
        <v>2</v>
      </c>
      <c r="H3" s="35">
        <f>+VLOOKUP(B3,[1]Sheet2!$B$6:$L$225,7,0)</f>
        <v>781</v>
      </c>
      <c r="I3" s="35">
        <f>+VLOOKUP(B3,[1]Sheet2!$B$6:$L$225,8,0)</f>
        <v>0</v>
      </c>
      <c r="J3" s="35" t="str">
        <f>+VLOOKUP(B3,[1]Sheet2!$B$6:$L$225,9,0)</f>
        <v>√</v>
      </c>
      <c r="K3" s="35"/>
    </row>
    <row r="4" spans="1:11" ht="90" x14ac:dyDescent="0.25">
      <c r="A4" s="24" t="s">
        <v>197</v>
      </c>
      <c r="B4" s="4" t="s">
        <v>4</v>
      </c>
      <c r="C4" s="6" t="s">
        <v>54</v>
      </c>
      <c r="D4" s="24">
        <v>293</v>
      </c>
      <c r="E4" s="38" t="s">
        <v>100</v>
      </c>
      <c r="F4" s="36" t="s">
        <v>190</v>
      </c>
      <c r="G4" s="35">
        <f>+VLOOKUP(B4,[1]Sheet2!$B$6:$L$225,6,0)</f>
        <v>0</v>
      </c>
      <c r="H4" s="35">
        <f>+VLOOKUP(B4,[1]Sheet2!$B$6:$L$225,7,0)</f>
        <v>293</v>
      </c>
      <c r="I4" s="35">
        <f>+VLOOKUP(B4,[1]Sheet2!$B$6:$L$225,8,0)</f>
        <v>0</v>
      </c>
      <c r="J4" s="35"/>
      <c r="K4" s="35"/>
    </row>
    <row r="5" spans="1:11" ht="75" x14ac:dyDescent="0.25">
      <c r="A5" s="24" t="s">
        <v>198</v>
      </c>
      <c r="B5" s="4" t="s">
        <v>5</v>
      </c>
      <c r="C5" s="5" t="s">
        <v>53</v>
      </c>
      <c r="D5" s="24">
        <v>64</v>
      </c>
      <c r="E5" s="38" t="s">
        <v>101</v>
      </c>
      <c r="F5" s="36" t="s">
        <v>189</v>
      </c>
      <c r="G5" s="35">
        <f>+VLOOKUP(B5,[1]Sheet2!$B$6:$L$225,6,0)</f>
        <v>0</v>
      </c>
      <c r="H5" s="35">
        <f>+VLOOKUP(B5,[1]Sheet2!$B$6:$L$225,7,0)</f>
        <v>48</v>
      </c>
      <c r="I5" s="35">
        <f>+VLOOKUP(B5,[1]Sheet2!$B$6:$L$225,8,0)</f>
        <v>0</v>
      </c>
      <c r="J5" s="35" t="str">
        <f>+VLOOKUP(B5,[1]Sheet2!$B$6:$L$225,9,0)</f>
        <v>√</v>
      </c>
      <c r="K5" s="35" t="str">
        <f>+VLOOKUP(B5,[1]Sheet2!$B$6:$L$225,10,0)</f>
        <v>√</v>
      </c>
    </row>
    <row r="6" spans="1:11" ht="45" x14ac:dyDescent="0.25">
      <c r="A6" s="24" t="s">
        <v>198</v>
      </c>
      <c r="B6" s="4" t="s">
        <v>36</v>
      </c>
      <c r="C6" s="6" t="s">
        <v>55</v>
      </c>
      <c r="D6" s="24">
        <v>409</v>
      </c>
      <c r="E6" s="38" t="s">
        <v>102</v>
      </c>
      <c r="F6" s="36" t="s">
        <v>188</v>
      </c>
      <c r="G6" s="35">
        <f>+VLOOKUP(B6,[1]Sheet2!$B$6:$L$225,6,0)</f>
        <v>2</v>
      </c>
      <c r="H6" s="35">
        <f>+VLOOKUP(B6,[1]Sheet2!$B$6:$L$225,7,0)</f>
        <v>409</v>
      </c>
      <c r="I6" s="35">
        <f>+VLOOKUP(B6,[1]Sheet2!$B$6:$L$225,8,0)</f>
        <v>5</v>
      </c>
      <c r="J6" s="35" t="str">
        <f>+VLOOKUP(B6,[1]Sheet2!$B$6:$L$225,9,0)</f>
        <v>√</v>
      </c>
      <c r="K6" s="35" t="str">
        <f>+VLOOKUP(B6,[1]Sheet2!$B$6:$L$225,10,0)</f>
        <v>√</v>
      </c>
    </row>
    <row r="7" spans="1:11" ht="75" x14ac:dyDescent="0.25">
      <c r="A7" s="24" t="s">
        <v>198</v>
      </c>
      <c r="B7" s="4" t="s">
        <v>6</v>
      </c>
      <c r="C7" s="6" t="s">
        <v>56</v>
      </c>
      <c r="D7" s="24">
        <v>156</v>
      </c>
      <c r="E7" s="38" t="s">
        <v>103</v>
      </c>
      <c r="F7" s="36" t="s">
        <v>187</v>
      </c>
      <c r="G7" s="35">
        <f>+VLOOKUP(B7,[1]Sheet2!$B$6:$L$225,6,0)</f>
        <v>4</v>
      </c>
      <c r="H7" s="35">
        <f>+VLOOKUP(B7,[1]Sheet2!$B$6:$L$225,7,0)</f>
        <v>156</v>
      </c>
      <c r="I7" s="35">
        <f>+VLOOKUP(B7,[1]Sheet2!$B$6:$L$225,8,0)</f>
        <v>0</v>
      </c>
      <c r="J7" s="35" t="str">
        <f>+VLOOKUP(B7,[1]Sheet2!$B$6:$L$225,9,0)</f>
        <v>√</v>
      </c>
      <c r="K7" s="35" t="str">
        <f>+VLOOKUP(B7,[1]Sheet2!$B$6:$L$225,10,0)</f>
        <v>√</v>
      </c>
    </row>
    <row r="8" spans="1:11" ht="75" x14ac:dyDescent="0.25">
      <c r="A8" s="24" t="s">
        <v>198</v>
      </c>
      <c r="B8" s="7" t="s">
        <v>7</v>
      </c>
      <c r="C8" s="6" t="s">
        <v>57</v>
      </c>
      <c r="D8" s="24">
        <v>1113</v>
      </c>
      <c r="E8" s="38" t="s">
        <v>104</v>
      </c>
      <c r="F8" s="36" t="s">
        <v>186</v>
      </c>
      <c r="G8" s="35">
        <f>+VLOOKUP(B8,[1]Sheet2!$B$6:$L$225,6,0)</f>
        <v>3</v>
      </c>
      <c r="H8" s="35">
        <f>+VLOOKUP(B8,[1]Sheet2!$B$6:$L$225,7,0)</f>
        <v>1067</v>
      </c>
      <c r="I8" s="35">
        <f>+VLOOKUP(B8,[1]Sheet2!$B$6:$L$225,8,0)</f>
        <v>0</v>
      </c>
      <c r="J8" s="35" t="str">
        <f>+VLOOKUP(B8,[1]Sheet2!$B$6:$L$225,9,0)</f>
        <v>√</v>
      </c>
      <c r="K8" s="35"/>
    </row>
    <row r="9" spans="1:11" ht="75" x14ac:dyDescent="0.25">
      <c r="A9" s="24" t="s">
        <v>198</v>
      </c>
      <c r="B9" s="4" t="s">
        <v>8</v>
      </c>
      <c r="C9" s="6" t="s">
        <v>58</v>
      </c>
      <c r="D9" s="24">
        <v>816</v>
      </c>
      <c r="E9" s="38" t="s">
        <v>105</v>
      </c>
      <c r="F9" s="36" t="s">
        <v>185</v>
      </c>
      <c r="G9" s="35">
        <f>+VLOOKUP(B9,[1]Sheet2!$B$6:$L$225,6,0)</f>
        <v>2</v>
      </c>
      <c r="H9" s="35">
        <f>+VLOOKUP(B9,[1]Sheet2!$B$6:$L$225,7,0)</f>
        <v>812</v>
      </c>
      <c r="I9" s="35">
        <f>+VLOOKUP(B9,[1]Sheet2!$B$6:$L$225,8,0)</f>
        <v>0</v>
      </c>
      <c r="J9" s="35" t="str">
        <f>+VLOOKUP(B9,[1]Sheet2!$B$6:$L$225,9,0)</f>
        <v>√</v>
      </c>
      <c r="K9" s="35" t="str">
        <f>+VLOOKUP(B9,[1]Sheet2!$B$6:$L$225,10,0)</f>
        <v>√</v>
      </c>
    </row>
    <row r="10" spans="1:11" ht="120" x14ac:dyDescent="0.25">
      <c r="A10" s="24" t="s">
        <v>197</v>
      </c>
      <c r="B10" s="4" t="s">
        <v>9</v>
      </c>
      <c r="C10" s="5" t="s">
        <v>59</v>
      </c>
      <c r="D10" s="24">
        <v>51</v>
      </c>
      <c r="E10" s="38" t="s">
        <v>106</v>
      </c>
      <c r="F10" s="36" t="s">
        <v>184</v>
      </c>
      <c r="G10" s="35">
        <f>+VLOOKUP(B10,[1]Sheet2!$B$6:$L$225,6,0)</f>
        <v>0</v>
      </c>
      <c r="H10" s="35">
        <f>+VLOOKUP(B10,[1]Sheet2!$B$6:$L$225,7,0)</f>
        <v>46</v>
      </c>
      <c r="I10" s="35">
        <f>+VLOOKUP(B10,[1]Sheet2!$B$6:$L$225,8,0)</f>
        <v>0</v>
      </c>
      <c r="J10" s="35"/>
      <c r="K10" s="35"/>
    </row>
    <row r="11" spans="1:11" ht="120" x14ac:dyDescent="0.25">
      <c r="A11" s="24" t="s">
        <v>199</v>
      </c>
      <c r="B11" s="7" t="s">
        <v>10</v>
      </c>
      <c r="C11" s="5" t="s">
        <v>60</v>
      </c>
      <c r="D11" s="24">
        <v>346</v>
      </c>
      <c r="E11" s="38" t="s">
        <v>107</v>
      </c>
      <c r="F11" s="36" t="s">
        <v>183</v>
      </c>
      <c r="G11" s="35">
        <f>+VLOOKUP(B11,[1]Sheet2!$B$6:$L$225,6,0)</f>
        <v>0</v>
      </c>
      <c r="H11" s="35">
        <f>+VLOOKUP(B11,[1]Sheet2!$B$6:$L$225,7,0)</f>
        <v>40</v>
      </c>
      <c r="I11" s="35">
        <f>+VLOOKUP(B11,[1]Sheet2!$B$6:$L$225,8,0)</f>
        <v>7</v>
      </c>
      <c r="J11" s="35"/>
      <c r="K11" s="35" t="str">
        <f>+VLOOKUP(B11,[1]Sheet2!$B$6:$L$225,10,0)</f>
        <v>√</v>
      </c>
    </row>
    <row r="12" spans="1:11" ht="75" x14ac:dyDescent="0.25">
      <c r="A12" s="24" t="s">
        <v>200</v>
      </c>
      <c r="B12" s="7" t="s">
        <v>50</v>
      </c>
      <c r="C12" s="5" t="s">
        <v>61</v>
      </c>
      <c r="D12" s="24">
        <v>406</v>
      </c>
      <c r="E12" s="38" t="s">
        <v>108</v>
      </c>
      <c r="F12" s="36" t="s">
        <v>182</v>
      </c>
      <c r="G12" s="35">
        <f>+VLOOKUP(B12,[1]Sheet2!$B$6:$L$225,6,0)</f>
        <v>1</v>
      </c>
      <c r="H12" s="35">
        <f>+VLOOKUP(B12,[1]Sheet2!$B$6:$L$225,7,0)</f>
        <v>406</v>
      </c>
      <c r="I12" s="35">
        <f>+VLOOKUP(B12,[1]Sheet2!$B$6:$L$225,8,0)</f>
        <v>0</v>
      </c>
      <c r="J12" s="35"/>
      <c r="K12" s="35" t="str">
        <f>+VLOOKUP(B12,[1]Sheet2!$B$6:$L$225,10,0)</f>
        <v>√</v>
      </c>
    </row>
    <row r="13" spans="1:11" ht="150" x14ac:dyDescent="0.25">
      <c r="A13" s="24" t="s">
        <v>199</v>
      </c>
      <c r="B13" s="7" t="s">
        <v>11</v>
      </c>
      <c r="C13" s="5" t="s">
        <v>62</v>
      </c>
      <c r="D13" s="24">
        <v>501</v>
      </c>
      <c r="E13" s="38" t="s">
        <v>109</v>
      </c>
      <c r="F13" s="36" t="s">
        <v>181</v>
      </c>
      <c r="G13" s="35">
        <f>+VLOOKUP(B13,[1]Sheet2!$B$6:$L$225,6,0)</f>
        <v>0</v>
      </c>
      <c r="H13" s="35">
        <f>+VLOOKUP(B13,[1]Sheet2!$B$6:$L$225,7,0)</f>
        <v>483</v>
      </c>
      <c r="I13" s="35">
        <f>+VLOOKUP(B13,[1]Sheet2!$B$6:$L$225,8,0)</f>
        <v>0</v>
      </c>
      <c r="J13" s="35"/>
      <c r="K13" s="35" t="str">
        <f>+VLOOKUP(B13,[1]Sheet2!$B$6:$L$225,10,0)</f>
        <v>√</v>
      </c>
    </row>
    <row r="14" spans="1:11" ht="75" x14ac:dyDescent="0.25">
      <c r="A14" s="24" t="s">
        <v>197</v>
      </c>
      <c r="B14" s="4" t="s">
        <v>49</v>
      </c>
      <c r="C14" s="5" t="s">
        <v>63</v>
      </c>
      <c r="D14" s="24">
        <v>119</v>
      </c>
      <c r="E14" s="38" t="s">
        <v>110</v>
      </c>
      <c r="F14" s="36" t="s">
        <v>180</v>
      </c>
      <c r="G14" s="35">
        <f>+VLOOKUP(B14,[1]Sheet2!$B$6:$L$225,6,0)</f>
        <v>2</v>
      </c>
      <c r="H14" s="35">
        <f>+VLOOKUP(B14,[1]Sheet2!$B$6:$L$225,7,0)</f>
        <v>119</v>
      </c>
      <c r="I14" s="35">
        <f>+VLOOKUP(B14,[1]Sheet2!$B$6:$L$225,8,0)</f>
        <v>0</v>
      </c>
      <c r="J14" s="35"/>
      <c r="K14" s="35"/>
    </row>
    <row r="15" spans="1:11" ht="75" x14ac:dyDescent="0.25">
      <c r="A15" s="24" t="s">
        <v>198</v>
      </c>
      <c r="B15" s="4" t="s">
        <v>12</v>
      </c>
      <c r="C15" s="6" t="s">
        <v>64</v>
      </c>
      <c r="D15" s="24">
        <v>631</v>
      </c>
      <c r="E15" s="38" t="s">
        <v>154</v>
      </c>
      <c r="F15" s="36" t="s">
        <v>153</v>
      </c>
      <c r="G15" s="35">
        <f>+VLOOKUP(B15,[1]Sheet2!$B$6:$L$225,6,0)</f>
        <v>3</v>
      </c>
      <c r="H15" s="35">
        <f>+VLOOKUP(B15,[1]Sheet2!$B$6:$L$225,7,0)</f>
        <v>631</v>
      </c>
      <c r="I15" s="35">
        <f>+VLOOKUP(B15,[1]Sheet2!$B$6:$L$225,8,0)</f>
        <v>1</v>
      </c>
      <c r="J15" s="35" t="str">
        <f>+VLOOKUP(B15,[1]Sheet2!$B$6:$L$225,9,0)</f>
        <v>√</v>
      </c>
      <c r="K15" s="35"/>
    </row>
    <row r="16" spans="1:11" ht="60" x14ac:dyDescent="0.25">
      <c r="A16" s="24" t="s">
        <v>201</v>
      </c>
      <c r="B16" s="4" t="s">
        <v>13</v>
      </c>
      <c r="C16" s="5" t="s">
        <v>65</v>
      </c>
      <c r="D16" s="24">
        <v>621</v>
      </c>
      <c r="E16" s="39" t="s">
        <v>152</v>
      </c>
      <c r="F16" s="36" t="s">
        <v>151</v>
      </c>
      <c r="G16" s="35">
        <f>+VLOOKUP(B16,[1]Sheet2!$B$6:$L$225,6,0)</f>
        <v>0</v>
      </c>
      <c r="H16" s="35">
        <f>+VLOOKUP(B16,[1]Sheet2!$B$6:$L$225,7,0)</f>
        <v>216</v>
      </c>
      <c r="I16" s="35">
        <f>+VLOOKUP(B16,[1]Sheet2!$B$6:$L$225,8,0)</f>
        <v>1</v>
      </c>
      <c r="J16" s="35"/>
      <c r="K16" s="35"/>
    </row>
    <row r="17" spans="1:11" ht="75" x14ac:dyDescent="0.25">
      <c r="A17" s="24" t="s">
        <v>201</v>
      </c>
      <c r="B17" s="4" t="s">
        <v>42</v>
      </c>
      <c r="C17" s="6" t="s">
        <v>66</v>
      </c>
      <c r="D17" s="24">
        <v>385</v>
      </c>
      <c r="E17" s="39" t="s">
        <v>150</v>
      </c>
      <c r="F17" s="36" t="s">
        <v>149</v>
      </c>
      <c r="G17" s="35">
        <f>+VLOOKUP(B17,[1]Sheet2!$B$6:$L$225,6,0)</f>
        <v>0</v>
      </c>
      <c r="H17" s="35">
        <f>+VLOOKUP(B17,[1]Sheet2!$B$6:$L$225,7,0)</f>
        <v>0</v>
      </c>
      <c r="I17" s="35">
        <f>+VLOOKUP(B17,[1]Sheet2!$B$6:$L$225,8,0)</f>
        <v>0</v>
      </c>
      <c r="J17" s="35"/>
      <c r="K17" s="35"/>
    </row>
    <row r="18" spans="1:11" ht="60" x14ac:dyDescent="0.25">
      <c r="A18" s="24" t="s">
        <v>197</v>
      </c>
      <c r="B18" s="7" t="s">
        <v>14</v>
      </c>
      <c r="C18" s="5" t="s">
        <v>67</v>
      </c>
      <c r="D18" s="24">
        <v>145</v>
      </c>
      <c r="E18" s="39" t="s">
        <v>148</v>
      </c>
      <c r="F18" s="36" t="s">
        <v>147</v>
      </c>
      <c r="G18" s="35">
        <f>+VLOOKUP(B18,[1]Sheet2!$B$6:$L$225,6,0)</f>
        <v>0</v>
      </c>
      <c r="H18" s="35">
        <f>+VLOOKUP(B18,[1]Sheet2!$B$6:$L$225,7,0)</f>
        <v>32</v>
      </c>
      <c r="I18" s="35">
        <f>+VLOOKUP(B18,[1]Sheet2!$B$6:$L$225,8,0)</f>
        <v>0</v>
      </c>
      <c r="J18" s="35"/>
      <c r="K18" s="35" t="str">
        <f>+VLOOKUP(B18,[1]Sheet2!$B$6:$L$225,10,0)</f>
        <v>√</v>
      </c>
    </row>
    <row r="19" spans="1:11" ht="60" x14ac:dyDescent="0.25">
      <c r="A19" s="24" t="s">
        <v>200</v>
      </c>
      <c r="B19" s="7" t="s">
        <v>15</v>
      </c>
      <c r="C19" s="5" t="s">
        <v>68</v>
      </c>
      <c r="D19" s="24">
        <v>519</v>
      </c>
      <c r="E19" s="39" t="s">
        <v>146</v>
      </c>
      <c r="F19" s="36" t="s">
        <v>145</v>
      </c>
      <c r="G19" s="35">
        <f>+VLOOKUP(B19,[1]Sheet2!$B$6:$L$225,6,0)</f>
        <v>0</v>
      </c>
      <c r="H19" s="35">
        <f>+VLOOKUP(B19,[1]Sheet2!$B$6:$L$225,7,0)</f>
        <v>501</v>
      </c>
      <c r="I19" s="35">
        <f>+VLOOKUP(B19,[1]Sheet2!$B$6:$L$225,8,0)</f>
        <v>0</v>
      </c>
      <c r="J19" s="35"/>
      <c r="K19" s="35"/>
    </row>
    <row r="20" spans="1:11" ht="75" x14ac:dyDescent="0.25">
      <c r="A20" s="24" t="s">
        <v>202</v>
      </c>
      <c r="B20" s="7" t="s">
        <v>16</v>
      </c>
      <c r="C20" s="5" t="s">
        <v>69</v>
      </c>
      <c r="D20" s="24">
        <v>162</v>
      </c>
      <c r="E20" s="39" t="s">
        <v>144</v>
      </c>
      <c r="F20" s="36" t="s">
        <v>143</v>
      </c>
      <c r="G20" s="35">
        <f>+VLOOKUP(B20,[1]Sheet2!$B$6:$L$225,6,0)</f>
        <v>0</v>
      </c>
      <c r="H20" s="35">
        <f>+VLOOKUP(B20,[1]Sheet2!$B$6:$L$225,7,0)</f>
        <v>10</v>
      </c>
      <c r="I20" s="35">
        <f>+VLOOKUP(B20,[1]Sheet2!$B$6:$L$225,8,0)</f>
        <v>0</v>
      </c>
      <c r="J20" s="35"/>
      <c r="K20" s="35"/>
    </row>
    <row r="21" spans="1:11" ht="75" x14ac:dyDescent="0.25">
      <c r="A21" s="24" t="s">
        <v>203</v>
      </c>
      <c r="B21" s="22" t="s">
        <v>17</v>
      </c>
      <c r="C21" s="6" t="s">
        <v>70</v>
      </c>
      <c r="D21" s="24">
        <v>70</v>
      </c>
      <c r="E21" s="39" t="s">
        <v>142</v>
      </c>
      <c r="F21" s="36" t="s">
        <v>141</v>
      </c>
      <c r="G21" s="35">
        <f>+VLOOKUP(B21,[1]Sheet2!$B$6:$L$225,6,0)</f>
        <v>0</v>
      </c>
      <c r="H21" s="35">
        <f>+VLOOKUP(B21,[1]Sheet2!$B$6:$L$225,7,0)</f>
        <v>35</v>
      </c>
      <c r="I21" s="35">
        <f>+VLOOKUP(B21,[1]Sheet2!$B$6:$L$225,8,0)</f>
        <v>5</v>
      </c>
      <c r="J21" s="35" t="str">
        <f>+VLOOKUP(B21,[1]Sheet2!$B$6:$L$225,9,0)</f>
        <v>√</v>
      </c>
      <c r="K21" s="35"/>
    </row>
    <row r="22" spans="1:11" ht="75" x14ac:dyDescent="0.25">
      <c r="A22" s="24" t="s">
        <v>199</v>
      </c>
      <c r="B22" s="22" t="s">
        <v>18</v>
      </c>
      <c r="C22" s="6" t="s">
        <v>54</v>
      </c>
      <c r="D22" s="24">
        <v>60</v>
      </c>
      <c r="E22" s="39" t="s">
        <v>140</v>
      </c>
      <c r="F22" s="36" t="s">
        <v>139</v>
      </c>
      <c r="G22" s="35">
        <f>+VLOOKUP(B22,[1]Sheet2!$B$6:$L$225,6,0)</f>
        <v>0</v>
      </c>
      <c r="H22" s="35">
        <f>+VLOOKUP(B22,[1]Sheet2!$B$6:$L$225,7,0)</f>
        <v>60</v>
      </c>
      <c r="I22" s="35">
        <f>+VLOOKUP(B22,[1]Sheet2!$B$6:$L$225,8,0)</f>
        <v>0</v>
      </c>
      <c r="J22" s="35" t="str">
        <f>+VLOOKUP(B22,[1]Sheet2!$B$6:$L$225,9,0)</f>
        <v>√</v>
      </c>
      <c r="K22" s="35"/>
    </row>
    <row r="23" spans="1:11" ht="120" x14ac:dyDescent="0.25">
      <c r="A23" s="24" t="s">
        <v>204</v>
      </c>
      <c r="B23" s="22" t="s">
        <v>35</v>
      </c>
      <c r="C23" s="6" t="s">
        <v>71</v>
      </c>
      <c r="D23" s="24">
        <v>490</v>
      </c>
      <c r="E23" s="39" t="s">
        <v>138</v>
      </c>
      <c r="F23" s="36" t="s">
        <v>137</v>
      </c>
      <c r="G23" s="35">
        <f>+VLOOKUP(B23,[1]Sheet2!$B$6:$L$225,6,0)</f>
        <v>0</v>
      </c>
      <c r="H23" s="35">
        <f>+VLOOKUP(B23,[1]Sheet2!$B$6:$L$225,7,0)</f>
        <v>490</v>
      </c>
      <c r="I23" s="35">
        <f>+VLOOKUP(B23,[1]Sheet2!$B$6:$L$225,8,0)</f>
        <v>0</v>
      </c>
      <c r="J23" s="35" t="str">
        <f>+VLOOKUP(B23,[1]Sheet2!$B$6:$L$225,9,0)</f>
        <v>√</v>
      </c>
      <c r="K23" s="35" t="str">
        <f>+VLOOKUP(B23,[1]Sheet2!$B$6:$L$225,10,0)</f>
        <v>√</v>
      </c>
    </row>
    <row r="24" spans="1:11" ht="75" x14ac:dyDescent="0.25">
      <c r="A24" s="24" t="s">
        <v>198</v>
      </c>
      <c r="B24" s="22" t="s">
        <v>40</v>
      </c>
      <c r="C24" s="6" t="s">
        <v>64</v>
      </c>
      <c r="D24" s="24">
        <v>139</v>
      </c>
      <c r="E24" s="39" t="s">
        <v>136</v>
      </c>
      <c r="F24" s="36" t="s">
        <v>179</v>
      </c>
      <c r="G24" s="35">
        <f>+VLOOKUP(B24,[1]Sheet2!$B$6:$L$225,6,0)</f>
        <v>0</v>
      </c>
      <c r="H24" s="35">
        <f>+VLOOKUP(B24,[1]Sheet2!$B$6:$L$225,7,0)</f>
        <v>45</v>
      </c>
      <c r="I24" s="35">
        <f>+VLOOKUP(B24,[1]Sheet2!$B$6:$L$225,8,0)</f>
        <v>0</v>
      </c>
      <c r="J24" s="35" t="str">
        <f>+VLOOKUP(B24,[1]Sheet2!$B$6:$L$225,9,0)</f>
        <v>√</v>
      </c>
      <c r="K24" s="35" t="str">
        <f>+VLOOKUP(B24,[1]Sheet2!$B$6:$L$225,10,0)</f>
        <v>√</v>
      </c>
    </row>
    <row r="25" spans="1:11" ht="60" x14ac:dyDescent="0.25">
      <c r="A25" s="24" t="s">
        <v>199</v>
      </c>
      <c r="B25" s="8" t="s">
        <v>19</v>
      </c>
      <c r="C25" s="5" t="s">
        <v>60</v>
      </c>
      <c r="D25" s="24">
        <v>118</v>
      </c>
      <c r="E25" s="38" t="s">
        <v>111</v>
      </c>
      <c r="F25" s="36" t="s">
        <v>178</v>
      </c>
      <c r="G25" s="35">
        <f>+VLOOKUP(B25,[1]Sheet2!$B$6:$L$225,6,0)</f>
        <v>0</v>
      </c>
      <c r="H25" s="35">
        <f>+VLOOKUP(B25,[1]Sheet2!$B$6:$L$225,7,0)</f>
        <v>59</v>
      </c>
      <c r="I25" s="35">
        <f>+VLOOKUP(B25,[1]Sheet2!$B$6:$L$225,8,0)</f>
        <v>5</v>
      </c>
      <c r="J25" s="35"/>
      <c r="K25" s="35"/>
    </row>
    <row r="26" spans="1:11" ht="75" x14ac:dyDescent="0.25">
      <c r="A26" s="24" t="s">
        <v>199</v>
      </c>
      <c r="B26" s="22" t="s">
        <v>20</v>
      </c>
      <c r="C26" s="6" t="s">
        <v>72</v>
      </c>
      <c r="D26" s="24">
        <v>198</v>
      </c>
      <c r="E26" s="38" t="s">
        <v>112</v>
      </c>
      <c r="F26" s="36" t="s">
        <v>177</v>
      </c>
      <c r="G26" s="35">
        <f>+VLOOKUP(B26,[1]Sheet2!$B$6:$L$225,6,0)</f>
        <v>0</v>
      </c>
      <c r="H26" s="35">
        <f>+VLOOKUP(B26,[1]Sheet2!$B$6:$L$225,7,0)</f>
        <v>194</v>
      </c>
      <c r="I26" s="35">
        <f>+VLOOKUP(B26,[1]Sheet2!$B$6:$L$225,8,0)</f>
        <v>3</v>
      </c>
      <c r="J26" s="35"/>
      <c r="K26" s="35" t="str">
        <f>+VLOOKUP(B26,[1]Sheet2!$B$6:$L$225,10,0)</f>
        <v>√</v>
      </c>
    </row>
    <row r="27" spans="1:11" ht="60" x14ac:dyDescent="0.25">
      <c r="A27" s="24" t="s">
        <v>199</v>
      </c>
      <c r="B27" s="22" t="s">
        <v>21</v>
      </c>
      <c r="C27" s="6" t="s">
        <v>62</v>
      </c>
      <c r="D27" s="24">
        <v>75</v>
      </c>
      <c r="E27" s="38" t="s">
        <v>113</v>
      </c>
      <c r="F27" s="36" t="s">
        <v>176</v>
      </c>
      <c r="G27" s="35">
        <f>+VLOOKUP(B27,[1]Sheet2!$B$6:$L$225,6,0)</f>
        <v>0</v>
      </c>
      <c r="H27" s="35">
        <f>+VLOOKUP(B27,[1]Sheet2!$B$6:$L$225,7,0)</f>
        <v>0</v>
      </c>
      <c r="I27" s="35">
        <f>+VLOOKUP(B27,[1]Sheet2!$B$6:$L$225,8,0)</f>
        <v>0</v>
      </c>
      <c r="J27" s="35"/>
      <c r="K27" s="35"/>
    </row>
    <row r="28" spans="1:11" ht="75" x14ac:dyDescent="0.25">
      <c r="A28" s="24" t="s">
        <v>205</v>
      </c>
      <c r="B28" s="8" t="s">
        <v>22</v>
      </c>
      <c r="C28" s="5" t="s">
        <v>73</v>
      </c>
      <c r="D28" s="24">
        <v>195</v>
      </c>
      <c r="E28" s="38" t="s">
        <v>114</v>
      </c>
      <c r="F28" s="36" t="s">
        <v>175</v>
      </c>
      <c r="G28" s="35">
        <f>+VLOOKUP(B28,[1]Sheet2!$B$6:$L$225,6,0)</f>
        <v>2</v>
      </c>
      <c r="H28" s="35">
        <f>+VLOOKUP(B28,[1]Sheet2!$B$6:$L$225,7,0)</f>
        <v>162</v>
      </c>
      <c r="I28" s="35">
        <f>+VLOOKUP(B28,[1]Sheet2!$B$6:$L$225,8,0)</f>
        <v>0</v>
      </c>
      <c r="J28" s="35"/>
      <c r="K28" s="35"/>
    </row>
    <row r="29" spans="1:11" ht="75" x14ac:dyDescent="0.25">
      <c r="A29" s="24" t="s">
        <v>206</v>
      </c>
      <c r="B29" s="8" t="s">
        <v>23</v>
      </c>
      <c r="C29" s="5" t="s">
        <v>74</v>
      </c>
      <c r="D29" s="24">
        <v>200</v>
      </c>
      <c r="E29" s="38" t="s">
        <v>115</v>
      </c>
      <c r="F29" s="36" t="s">
        <v>174</v>
      </c>
      <c r="G29" s="35">
        <f>+VLOOKUP(B29,[1]Sheet2!$B$6:$L$225,6,0)</f>
        <v>0</v>
      </c>
      <c r="H29" s="35">
        <f>+VLOOKUP(B29,[1]Sheet2!$B$6:$L$225,7,0)</f>
        <v>0</v>
      </c>
      <c r="I29" s="35">
        <f>+VLOOKUP(B29,[1]Sheet2!$B$6:$L$225,8,0)</f>
        <v>0</v>
      </c>
      <c r="J29" s="35"/>
      <c r="K29" s="35"/>
    </row>
    <row r="30" spans="1:11" ht="75" x14ac:dyDescent="0.25">
      <c r="A30" s="24" t="s">
        <v>199</v>
      </c>
      <c r="B30" s="22" t="s">
        <v>24</v>
      </c>
      <c r="C30" s="6" t="s">
        <v>62</v>
      </c>
      <c r="D30" s="24">
        <v>51</v>
      </c>
      <c r="E30" s="38" t="s">
        <v>116</v>
      </c>
      <c r="F30" s="36" t="s">
        <v>173</v>
      </c>
      <c r="G30" s="35">
        <f>+VLOOKUP(B30,[1]Sheet2!$B$6:$L$225,6,0)</f>
        <v>0</v>
      </c>
      <c r="H30" s="35">
        <f>+VLOOKUP(B30,[1]Sheet2!$B$6:$L$225,7,0)</f>
        <v>0</v>
      </c>
      <c r="I30" s="35">
        <f>+VLOOKUP(B30,[1]Sheet2!$B$6:$L$225,8,0)</f>
        <v>0</v>
      </c>
      <c r="J30" s="35"/>
      <c r="K30" s="35"/>
    </row>
    <row r="31" spans="1:11" ht="75" x14ac:dyDescent="0.25">
      <c r="A31" s="24" t="s">
        <v>195</v>
      </c>
      <c r="B31" s="22" t="s">
        <v>25</v>
      </c>
      <c r="C31" s="6" t="s">
        <v>65</v>
      </c>
      <c r="D31" s="24">
        <v>450</v>
      </c>
      <c r="E31" s="38" t="s">
        <v>97</v>
      </c>
      <c r="F31" s="36" t="s">
        <v>172</v>
      </c>
      <c r="G31" s="35">
        <f>+VLOOKUP(B31,[1]Sheet2!$B$6:$L$225,6,0)</f>
        <v>0</v>
      </c>
      <c r="H31" s="35">
        <f>+VLOOKUP(B31,[1]Sheet2!$B$6:$L$225,7,0)</f>
        <v>359</v>
      </c>
      <c r="I31" s="35">
        <f>+VLOOKUP(B31,[1]Sheet2!$B$6:$L$225,8,0)</f>
        <v>0</v>
      </c>
      <c r="J31" s="35"/>
      <c r="K31" s="35"/>
    </row>
    <row r="32" spans="1:11" ht="75" x14ac:dyDescent="0.25">
      <c r="A32" s="24" t="s">
        <v>207</v>
      </c>
      <c r="B32" s="22" t="s">
        <v>26</v>
      </c>
      <c r="C32" s="6" t="s">
        <v>55</v>
      </c>
      <c r="D32" s="24">
        <v>4615</v>
      </c>
      <c r="E32" s="38" t="s">
        <v>128</v>
      </c>
      <c r="F32" s="36" t="s">
        <v>171</v>
      </c>
      <c r="G32" s="35">
        <f>+VLOOKUP(B32,[1]Sheet2!$B$6:$L$225,6,0)</f>
        <v>0</v>
      </c>
      <c r="H32" s="35">
        <f>+VLOOKUP(B32,[1]Sheet2!$B$6:$L$225,7,0)</f>
        <v>4615</v>
      </c>
      <c r="I32" s="35">
        <f>+VLOOKUP(B32,[1]Sheet2!$B$6:$L$225,8,0)</f>
        <v>19</v>
      </c>
      <c r="J32" s="35"/>
      <c r="K32" s="35" t="str">
        <f>+VLOOKUP(B32,[1]Sheet2!$B$6:$L$225,10,0)</f>
        <v>√</v>
      </c>
    </row>
    <row r="33" spans="1:11" ht="75" x14ac:dyDescent="0.25">
      <c r="A33" s="24" t="s">
        <v>199</v>
      </c>
      <c r="B33" s="22" t="s">
        <v>27</v>
      </c>
      <c r="C33" s="6" t="s">
        <v>75</v>
      </c>
      <c r="D33" s="24">
        <v>71</v>
      </c>
      <c r="E33" s="38" t="s">
        <v>129</v>
      </c>
      <c r="F33" s="36" t="s">
        <v>170</v>
      </c>
      <c r="G33" s="35">
        <f>+VLOOKUP(B33,[1]Sheet2!$B$6:$L$225,6,0)</f>
        <v>0</v>
      </c>
      <c r="H33" s="35">
        <f>+VLOOKUP(B33,[1]Sheet2!$B$6:$L$225,7,0)</f>
        <v>71</v>
      </c>
      <c r="I33" s="35">
        <f>+VLOOKUP(B33,[1]Sheet2!$B$6:$L$225,8,0)</f>
        <v>0</v>
      </c>
      <c r="J33" s="35"/>
      <c r="K33" s="35"/>
    </row>
    <row r="34" spans="1:11" ht="75" x14ac:dyDescent="0.25">
      <c r="A34" s="24" t="s">
        <v>199</v>
      </c>
      <c r="B34" s="27" t="s">
        <v>28</v>
      </c>
      <c r="C34" s="11" t="s">
        <v>76</v>
      </c>
      <c r="D34" s="24">
        <v>102</v>
      </c>
      <c r="E34" s="38" t="s">
        <v>130</v>
      </c>
      <c r="F34" s="36" t="s">
        <v>169</v>
      </c>
      <c r="G34" s="35">
        <f>+VLOOKUP(B34,[1]Sheet2!$B$6:$L$225,6,0)</f>
        <v>0</v>
      </c>
      <c r="H34" s="35">
        <f>+VLOOKUP(B34,[1]Sheet2!$B$6:$L$225,7,0)</f>
        <v>102</v>
      </c>
      <c r="I34" s="35">
        <f>+VLOOKUP(B34,[1]Sheet2!$B$6:$L$225,8,0)</f>
        <v>1</v>
      </c>
      <c r="J34" s="35"/>
      <c r="K34" s="35"/>
    </row>
    <row r="35" spans="1:11" ht="120" x14ac:dyDescent="0.25">
      <c r="A35" s="24" t="s">
        <v>199</v>
      </c>
      <c r="B35" s="26" t="s">
        <v>29</v>
      </c>
      <c r="C35" s="12" t="s">
        <v>62</v>
      </c>
      <c r="D35" s="24">
        <v>983</v>
      </c>
      <c r="E35" s="38" t="s">
        <v>131</v>
      </c>
      <c r="F35" s="36" t="s">
        <v>168</v>
      </c>
      <c r="G35" s="35">
        <f>+VLOOKUP(B35,[1]Sheet2!$B$6:$L$225,6,0)</f>
        <v>0</v>
      </c>
      <c r="H35" s="35">
        <f>+VLOOKUP(B35,[1]Sheet2!$B$6:$L$225,7,0)</f>
        <v>977</v>
      </c>
      <c r="I35" s="35">
        <f>+VLOOKUP(B35,[1]Sheet2!$B$6:$L$225,8,0)</f>
        <v>0</v>
      </c>
      <c r="J35" s="35"/>
      <c r="K35" s="35"/>
    </row>
    <row r="36" spans="1:11" ht="75" x14ac:dyDescent="0.25">
      <c r="A36" s="24" t="s">
        <v>195</v>
      </c>
      <c r="B36" s="26" t="s">
        <v>30</v>
      </c>
      <c r="C36" s="13" t="s">
        <v>77</v>
      </c>
      <c r="D36" s="24">
        <v>1557</v>
      </c>
      <c r="E36" s="38" t="s">
        <v>132</v>
      </c>
      <c r="F36" s="36" t="s">
        <v>167</v>
      </c>
      <c r="G36" s="35">
        <f>+VLOOKUP(B36,[1]Sheet2!$B$6:$L$225,6,0)</f>
        <v>3</v>
      </c>
      <c r="H36" s="35">
        <f>+VLOOKUP(B36,[1]Sheet2!$B$6:$L$225,7,0)</f>
        <v>0</v>
      </c>
      <c r="I36" s="35">
        <f>+VLOOKUP(B36,[1]Sheet2!$B$6:$L$225,8,0)</f>
        <v>0</v>
      </c>
      <c r="J36" s="35"/>
      <c r="K36" s="35" t="str">
        <f>+VLOOKUP(B36,[1]Sheet2!$B$6:$L$225,10,0)</f>
        <v>√</v>
      </c>
    </row>
    <row r="37" spans="1:11" ht="75" x14ac:dyDescent="0.25">
      <c r="A37" s="24" t="s">
        <v>199</v>
      </c>
      <c r="B37" s="26" t="s">
        <v>31</v>
      </c>
      <c r="C37" s="14" t="s">
        <v>78</v>
      </c>
      <c r="D37" s="24">
        <v>229</v>
      </c>
      <c r="E37" s="38" t="s">
        <v>117</v>
      </c>
      <c r="F37" s="36" t="s">
        <v>166</v>
      </c>
      <c r="G37" s="35">
        <f>+VLOOKUP(B37,[1]Sheet2!$B$6:$L$225,6,0)</f>
        <v>0</v>
      </c>
      <c r="H37" s="35">
        <f>+VLOOKUP(B37,[1]Sheet2!$B$6:$L$225,7,0)</f>
        <v>129</v>
      </c>
      <c r="I37" s="35">
        <f>+VLOOKUP(B37,[1]Sheet2!$B$6:$L$225,8,0)</f>
        <v>0</v>
      </c>
      <c r="J37" s="35"/>
      <c r="K37" s="35"/>
    </row>
    <row r="38" spans="1:11" ht="120" x14ac:dyDescent="0.25">
      <c r="A38" s="24" t="s">
        <v>198</v>
      </c>
      <c r="B38" s="9" t="s">
        <v>32</v>
      </c>
      <c r="C38" s="10" t="s">
        <v>79</v>
      </c>
      <c r="D38" s="24">
        <v>47</v>
      </c>
      <c r="E38" s="38" t="s">
        <v>133</v>
      </c>
      <c r="F38" s="36" t="s">
        <v>165</v>
      </c>
      <c r="G38" s="35">
        <f>+VLOOKUP(B38,[1]Sheet2!$B$6:$L$225,6,0)</f>
        <v>0</v>
      </c>
      <c r="H38" s="35">
        <f>+VLOOKUP(B38,[1]Sheet2!$B$6:$L$225,7,0)</f>
        <v>0</v>
      </c>
      <c r="I38" s="35">
        <f>+VLOOKUP(B38,[1]Sheet2!$B$6:$L$225,8,0)</f>
        <v>0</v>
      </c>
      <c r="J38" s="35"/>
      <c r="K38" s="35"/>
    </row>
    <row r="39" spans="1:11" ht="75" x14ac:dyDescent="0.25">
      <c r="A39" s="24" t="s">
        <v>201</v>
      </c>
      <c r="B39" s="26" t="s">
        <v>33</v>
      </c>
      <c r="C39" s="12" t="s">
        <v>80</v>
      </c>
      <c r="D39" s="24">
        <v>144</v>
      </c>
      <c r="E39" s="38" t="s">
        <v>118</v>
      </c>
      <c r="F39" s="36" t="s">
        <v>164</v>
      </c>
      <c r="G39" s="35">
        <f>+VLOOKUP(B39,[1]Sheet2!$B$6:$L$225,6,0)</f>
        <v>0</v>
      </c>
      <c r="H39" s="35">
        <f>+VLOOKUP(B39,[1]Sheet2!$B$6:$L$225,7,0)</f>
        <v>138</v>
      </c>
      <c r="I39" s="35">
        <f>+VLOOKUP(B39,[1]Sheet2!$B$6:$L$225,8,0)</f>
        <v>2</v>
      </c>
      <c r="J39" s="35"/>
      <c r="K39" s="35"/>
    </row>
    <row r="40" spans="1:11" ht="75" x14ac:dyDescent="0.25">
      <c r="A40" s="24" t="s">
        <v>208</v>
      </c>
      <c r="B40" s="26" t="s">
        <v>34</v>
      </c>
      <c r="C40" s="12" t="s">
        <v>81</v>
      </c>
      <c r="D40" s="24">
        <v>58</v>
      </c>
      <c r="E40" s="38" t="s">
        <v>119</v>
      </c>
      <c r="F40" s="36" t="s">
        <v>163</v>
      </c>
      <c r="G40" s="35">
        <f>+VLOOKUP(B40,[1]Sheet2!$B$6:$L$225,6,0)</f>
        <v>0</v>
      </c>
      <c r="H40" s="35">
        <f>+VLOOKUP(B40,[1]Sheet2!$B$6:$L$225,7,0)</f>
        <v>0</v>
      </c>
      <c r="I40" s="35">
        <f>+VLOOKUP(B40,[1]Sheet2!$B$6:$L$225,8,0)</f>
        <v>0</v>
      </c>
      <c r="J40" s="35"/>
      <c r="K40" s="35"/>
    </row>
    <row r="41" spans="1:11" ht="60" x14ac:dyDescent="0.25">
      <c r="A41" s="24" t="s">
        <v>200</v>
      </c>
      <c r="B41" s="26" t="s">
        <v>37</v>
      </c>
      <c r="C41" s="12" t="s">
        <v>59</v>
      </c>
      <c r="D41" s="24">
        <v>354</v>
      </c>
      <c r="E41" s="38" t="s">
        <v>120</v>
      </c>
      <c r="F41" s="36" t="s">
        <v>162</v>
      </c>
      <c r="G41" s="35">
        <f>+VLOOKUP(B41,[1]Sheet2!$B$6:$L$225,6,0)</f>
        <v>0</v>
      </c>
      <c r="H41" s="35">
        <f>+VLOOKUP(B41,[1]Sheet2!$B$6:$L$225,7,0)</f>
        <v>0</v>
      </c>
      <c r="I41" s="35">
        <f>+VLOOKUP(B41,[1]Sheet2!$B$6:$L$225,8,0)</f>
        <v>0</v>
      </c>
      <c r="J41" s="35"/>
      <c r="K41" s="35"/>
    </row>
    <row r="42" spans="1:11" ht="75" x14ac:dyDescent="0.25">
      <c r="A42" s="24" t="s">
        <v>196</v>
      </c>
      <c r="B42" s="26" t="s">
        <v>41</v>
      </c>
      <c r="C42" s="12" t="s">
        <v>82</v>
      </c>
      <c r="D42" s="24">
        <v>98</v>
      </c>
      <c r="E42" s="38" t="s">
        <v>121</v>
      </c>
      <c r="F42" s="36" t="s">
        <v>161</v>
      </c>
      <c r="G42" s="35">
        <f>+VLOOKUP(B42,[1]Sheet2!$B$6:$L$225,6,0)</f>
        <v>0</v>
      </c>
      <c r="H42" s="35">
        <f>+VLOOKUP(B42,[1]Sheet2!$B$6:$L$225,7,0)</f>
        <v>43</v>
      </c>
      <c r="I42" s="35">
        <f>+VLOOKUP(B42,[1]Sheet2!$B$6:$L$225,8,0)</f>
        <v>0</v>
      </c>
      <c r="J42" s="35"/>
      <c r="K42" s="35"/>
    </row>
    <row r="43" spans="1:11" ht="75" x14ac:dyDescent="0.25">
      <c r="A43" s="24" t="s">
        <v>201</v>
      </c>
      <c r="B43" s="26" t="s">
        <v>43</v>
      </c>
      <c r="C43" s="12" t="s">
        <v>83</v>
      </c>
      <c r="D43" s="24">
        <v>100</v>
      </c>
      <c r="E43" s="38" t="s">
        <v>122</v>
      </c>
      <c r="F43" s="36" t="s">
        <v>160</v>
      </c>
      <c r="G43" s="35">
        <f>+VLOOKUP(B43,[1]Sheet2!$B$6:$L$225,6,0)</f>
        <v>0</v>
      </c>
      <c r="H43" s="35">
        <f>+VLOOKUP(B43,[1]Sheet2!$B$6:$L$225,7,0)</f>
        <v>0</v>
      </c>
      <c r="I43" s="35">
        <f>+VLOOKUP(B43,[1]Sheet2!$B$6:$L$225,8,0)</f>
        <v>0</v>
      </c>
      <c r="J43" s="35"/>
      <c r="K43" s="35"/>
    </row>
    <row r="44" spans="1:11" ht="60" x14ac:dyDescent="0.25">
      <c r="A44" s="24" t="s">
        <v>206</v>
      </c>
      <c r="B44" s="26" t="s">
        <v>44</v>
      </c>
      <c r="C44" s="12" t="s">
        <v>84</v>
      </c>
      <c r="D44" s="24">
        <v>300</v>
      </c>
      <c r="E44" s="38" t="s">
        <v>123</v>
      </c>
      <c r="F44" s="36" t="s">
        <v>159</v>
      </c>
      <c r="G44" s="35">
        <f>+VLOOKUP(B44,[1]Sheet2!$B$6:$L$225,6,0)</f>
        <v>0</v>
      </c>
      <c r="H44" s="35">
        <f>+VLOOKUP(B44,[1]Sheet2!$B$6:$L$225,7,0)</f>
        <v>8</v>
      </c>
      <c r="I44" s="35">
        <f>+VLOOKUP(B44,[1]Sheet2!$B$6:$L$225,8,0)</f>
        <v>0</v>
      </c>
      <c r="J44" s="35"/>
      <c r="K44" s="35"/>
    </row>
    <row r="45" spans="1:11" ht="30" x14ac:dyDescent="0.25">
      <c r="A45" s="24" t="s">
        <v>209</v>
      </c>
      <c r="B45" s="26" t="s">
        <v>45</v>
      </c>
      <c r="C45" s="12" t="s">
        <v>85</v>
      </c>
      <c r="D45" s="24">
        <v>70</v>
      </c>
      <c r="E45" s="38" t="s">
        <v>124</v>
      </c>
      <c r="F45" s="41" t="s">
        <v>135</v>
      </c>
      <c r="G45" s="35">
        <f>+VLOOKUP(B45,[1]Sheet2!$B$6:$L$225,6,0)</f>
        <v>0</v>
      </c>
      <c r="H45" s="35">
        <f>+VLOOKUP(B45,[1]Sheet2!$B$6:$L$225,7,0)</f>
        <v>0</v>
      </c>
      <c r="I45" s="35">
        <f>+VLOOKUP(B45,[1]Sheet2!$B$6:$L$225,8,0)</f>
        <v>0</v>
      </c>
      <c r="J45" s="35"/>
      <c r="K45" s="35"/>
    </row>
    <row r="46" spans="1:11" x14ac:dyDescent="0.25">
      <c r="A46" s="24" t="s">
        <v>199</v>
      </c>
      <c r="B46" s="21" t="s">
        <v>38</v>
      </c>
      <c r="C46" s="12" t="s">
        <v>86</v>
      </c>
      <c r="D46" s="24">
        <v>53</v>
      </c>
      <c r="E46" s="38" t="s">
        <v>125</v>
      </c>
      <c r="F46" s="41" t="s">
        <v>135</v>
      </c>
      <c r="G46" s="35">
        <f>+VLOOKUP(B46,[1]Sheet2!$B$6:$L$225,6,0)</f>
        <v>0</v>
      </c>
      <c r="H46" s="35">
        <f>+VLOOKUP(B46,[1]Sheet2!$B$6:$L$225,7,0)</f>
        <v>53</v>
      </c>
      <c r="I46" s="35">
        <f>+VLOOKUP(B46,[1]Sheet2!$B$6:$L$225,8,0)</f>
        <v>0</v>
      </c>
      <c r="J46" s="35"/>
      <c r="K46" s="35"/>
    </row>
    <row r="47" spans="1:11" x14ac:dyDescent="0.25">
      <c r="A47" s="24" t="s">
        <v>199</v>
      </c>
      <c r="B47" s="23" t="s">
        <v>46</v>
      </c>
      <c r="C47" s="12" t="s">
        <v>59</v>
      </c>
      <c r="D47" s="24">
        <v>277</v>
      </c>
      <c r="E47" s="38" t="s">
        <v>125</v>
      </c>
      <c r="F47" s="41" t="s">
        <v>135</v>
      </c>
      <c r="G47" s="35">
        <f>+VLOOKUP(B47,[1]Sheet2!$B$6:$L$225,6,0)</f>
        <v>0</v>
      </c>
      <c r="H47" s="35">
        <f>+VLOOKUP(B47,[1]Sheet2!$B$6:$L$225,7,0)</f>
        <v>277</v>
      </c>
      <c r="I47" s="35">
        <f>+VLOOKUP(B47,[1]Sheet2!$B$6:$L$225,8,0)</f>
        <v>0</v>
      </c>
      <c r="J47" s="35"/>
      <c r="K47" s="35"/>
    </row>
    <row r="48" spans="1:11" ht="120" x14ac:dyDescent="0.25">
      <c r="A48" s="24" t="s">
        <v>199</v>
      </c>
      <c r="B48" s="21" t="s">
        <v>39</v>
      </c>
      <c r="C48" s="5" t="s">
        <v>54</v>
      </c>
      <c r="D48" s="24">
        <v>55</v>
      </c>
      <c r="E48" s="38" t="s">
        <v>126</v>
      </c>
      <c r="F48" s="36" t="s">
        <v>158</v>
      </c>
      <c r="G48" s="35">
        <f>+VLOOKUP(B48,[1]Sheet2!$B$6:$L$225,6,0)</f>
        <v>0</v>
      </c>
      <c r="H48" s="35">
        <f>+VLOOKUP(B48,[1]Sheet2!$B$6:$L$225,7,0)</f>
        <v>55</v>
      </c>
      <c r="I48" s="35">
        <f>+VLOOKUP(B48,[1]Sheet2!$B$6:$L$225,8,0)</f>
        <v>0</v>
      </c>
      <c r="J48" s="35"/>
      <c r="K48" s="35"/>
    </row>
    <row r="49" spans="1:11" ht="75" x14ac:dyDescent="0.25">
      <c r="A49" s="24" t="s">
        <v>201</v>
      </c>
      <c r="B49" s="25" t="s">
        <v>47</v>
      </c>
      <c r="C49" s="13" t="s">
        <v>87</v>
      </c>
      <c r="D49" s="24">
        <v>114</v>
      </c>
      <c r="E49" s="38" t="s">
        <v>127</v>
      </c>
      <c r="F49" s="36" t="s">
        <v>157</v>
      </c>
      <c r="G49" s="35">
        <f>+VLOOKUP(B49,[1]Sheet2!$B$6:$L$225,6,0)</f>
        <v>0</v>
      </c>
      <c r="H49" s="35">
        <f>+VLOOKUP(B49,[1]Sheet2!$B$6:$L$225,7,0)</f>
        <v>99</v>
      </c>
      <c r="I49" s="35">
        <f>+VLOOKUP(B49,[1]Sheet2!$B$6:$L$225,8,0)</f>
        <v>0</v>
      </c>
      <c r="J49" s="35"/>
      <c r="K49" s="35"/>
    </row>
    <row r="50" spans="1:11" ht="120" x14ac:dyDescent="0.25">
      <c r="A50" s="24" t="s">
        <v>203</v>
      </c>
      <c r="B50" s="25" t="s">
        <v>48</v>
      </c>
      <c r="C50" s="13" t="s">
        <v>60</v>
      </c>
      <c r="D50" s="24">
        <v>73</v>
      </c>
      <c r="E50" s="38" t="s">
        <v>134</v>
      </c>
      <c r="F50" s="36" t="s">
        <v>156</v>
      </c>
      <c r="G50" s="35">
        <f>+VLOOKUP(B50,[1]Sheet2!$B$6:$L$225,6,0)</f>
        <v>0</v>
      </c>
      <c r="H50" s="35">
        <f>+VLOOKUP(B50,[1]Sheet2!$B$6:$L$225,7,0)</f>
        <v>73</v>
      </c>
      <c r="I50" s="35">
        <f>+VLOOKUP(B50,[1]Sheet2!$B$6:$L$225,8,0)</f>
        <v>0</v>
      </c>
      <c r="J50" s="35"/>
      <c r="K50" s="35"/>
    </row>
    <row r="51" spans="1:11" ht="75" x14ac:dyDescent="0.25">
      <c r="A51" s="24" t="s">
        <v>207</v>
      </c>
      <c r="B51" s="32" t="s">
        <v>51</v>
      </c>
      <c r="C51" s="33" t="s">
        <v>88</v>
      </c>
      <c r="D51" s="34">
        <v>250</v>
      </c>
      <c r="E51" s="38" t="s">
        <v>96</v>
      </c>
      <c r="F51" s="36" t="s">
        <v>155</v>
      </c>
      <c r="G51" s="35">
        <v>0</v>
      </c>
      <c r="H51" s="35">
        <v>0</v>
      </c>
      <c r="I51" s="35">
        <v>0</v>
      </c>
      <c r="J51" s="35"/>
      <c r="K51" s="35"/>
    </row>
    <row r="52" spans="1:11" x14ac:dyDescent="0.25">
      <c r="A52" s="15"/>
      <c r="B52" s="28"/>
      <c r="C52" s="17"/>
      <c r="D52" s="31"/>
    </row>
    <row r="53" spans="1:11" ht="30" customHeight="1" x14ac:dyDescent="0.25">
      <c r="A53" s="15"/>
      <c r="B53" s="42"/>
      <c r="C53" s="42"/>
      <c r="D53" s="31"/>
    </row>
    <row r="54" spans="1:11" x14ac:dyDescent="0.25">
      <c r="A54" s="15"/>
      <c r="B54" s="18"/>
      <c r="C54" s="17"/>
      <c r="D54" s="1"/>
    </row>
    <row r="55" spans="1:11" x14ac:dyDescent="0.25">
      <c r="A55" s="15"/>
      <c r="B55" s="16"/>
      <c r="C55" s="17"/>
      <c r="D55" s="1"/>
    </row>
    <row r="56" spans="1:11" x14ac:dyDescent="0.25">
      <c r="A56" s="15"/>
      <c r="B56" s="18"/>
      <c r="C56" s="17"/>
      <c r="D56" s="1"/>
    </row>
    <row r="57" spans="1:11" x14ac:dyDescent="0.25">
      <c r="A57" s="15"/>
      <c r="B57" s="18"/>
      <c r="C57" s="19"/>
      <c r="D57" s="1"/>
    </row>
    <row r="58" spans="1:11" x14ac:dyDescent="0.25">
      <c r="A58" s="15"/>
      <c r="B58" s="29"/>
      <c r="C58" s="19"/>
      <c r="D58" s="1"/>
    </row>
    <row r="59" spans="1:11" x14ac:dyDescent="0.25">
      <c r="A59" s="15"/>
      <c r="B59" s="18"/>
      <c r="C59" s="19"/>
      <c r="D59" s="1"/>
    </row>
    <row r="60" spans="1:11" x14ac:dyDescent="0.25">
      <c r="A60" s="15"/>
      <c r="B60" s="16"/>
      <c r="C60" s="19"/>
      <c r="D60" s="1"/>
    </row>
    <row r="61" spans="1:11" x14ac:dyDescent="0.25">
      <c r="A61" s="15"/>
      <c r="B61" s="18"/>
      <c r="C61" s="19"/>
      <c r="D61" s="1"/>
    </row>
    <row r="62" spans="1:11" x14ac:dyDescent="0.25">
      <c r="A62" s="15"/>
      <c r="B62" s="16"/>
      <c r="C62" s="19"/>
      <c r="D62" s="1"/>
    </row>
    <row r="63" spans="1:11" x14ac:dyDescent="0.25">
      <c r="A63" s="15"/>
      <c r="B63" s="16"/>
      <c r="C63" s="19"/>
      <c r="D63" s="1"/>
    </row>
    <row r="64" spans="1:11" x14ac:dyDescent="0.25">
      <c r="A64" s="15"/>
      <c r="B64" s="16"/>
      <c r="C64" s="17"/>
      <c r="D64" s="1"/>
    </row>
    <row r="65" spans="1:4" x14ac:dyDescent="0.25">
      <c r="A65" s="15"/>
      <c r="B65" s="16"/>
      <c r="C65" s="17"/>
      <c r="D65" s="1"/>
    </row>
    <row r="66" spans="1:4" x14ac:dyDescent="0.25">
      <c r="A66" s="15"/>
      <c r="B66" s="18"/>
      <c r="C66" s="19"/>
      <c r="D66" s="1"/>
    </row>
    <row r="67" spans="1:4" x14ac:dyDescent="0.25">
      <c r="A67" s="15"/>
      <c r="B67" s="16"/>
      <c r="C67" s="17"/>
      <c r="D67" s="1"/>
    </row>
    <row r="68" spans="1:4" x14ac:dyDescent="0.25">
      <c r="A68" s="15"/>
      <c r="B68" s="18"/>
      <c r="C68" s="19"/>
      <c r="D68" s="1"/>
    </row>
    <row r="69" spans="1:4" x14ac:dyDescent="0.25">
      <c r="A69" s="15"/>
      <c r="B69" s="16"/>
      <c r="C69" s="17"/>
      <c r="D69" s="1"/>
    </row>
    <row r="70" spans="1:4" x14ac:dyDescent="0.25">
      <c r="A70" s="15"/>
      <c r="B70" s="18"/>
      <c r="C70" s="19"/>
      <c r="D70" s="1"/>
    </row>
    <row r="71" spans="1:4" x14ac:dyDescent="0.25">
      <c r="A71" s="15"/>
      <c r="B71" s="18"/>
      <c r="C71" s="19"/>
      <c r="D71" s="1"/>
    </row>
    <row r="72" spans="1:4" x14ac:dyDescent="0.25">
      <c r="A72" s="15"/>
      <c r="B72" s="16"/>
      <c r="C72" s="17"/>
      <c r="D72" s="1"/>
    </row>
    <row r="73" spans="1:4" x14ac:dyDescent="0.25">
      <c r="A73" s="15"/>
      <c r="B73" s="16"/>
      <c r="C73" s="17"/>
      <c r="D73" s="1"/>
    </row>
    <row r="74" spans="1:4" x14ac:dyDescent="0.25">
      <c r="A74" s="15"/>
      <c r="B74" s="16"/>
      <c r="C74" s="17"/>
      <c r="D74" s="1"/>
    </row>
    <row r="75" spans="1:4" x14ac:dyDescent="0.25">
      <c r="A75" s="15"/>
      <c r="B75" s="16"/>
      <c r="C75" s="17"/>
      <c r="D75" s="1"/>
    </row>
    <row r="76" spans="1:4" x14ac:dyDescent="0.25">
      <c r="A76" s="15"/>
      <c r="B76" s="18"/>
      <c r="C76" s="19"/>
      <c r="D76" s="1"/>
    </row>
    <row r="77" spans="1:4" x14ac:dyDescent="0.25">
      <c r="A77" s="15"/>
      <c r="B77" s="18"/>
      <c r="C77" s="19"/>
      <c r="D77" s="1"/>
    </row>
    <row r="78" spans="1:4" x14ac:dyDescent="0.25">
      <c r="A78" s="15"/>
      <c r="B78" s="18"/>
      <c r="C78" s="19"/>
      <c r="D78" s="1"/>
    </row>
    <row r="79" spans="1:4" x14ac:dyDescent="0.25">
      <c r="A79" s="15"/>
      <c r="B79" s="18"/>
      <c r="C79" s="19"/>
      <c r="D79" s="1"/>
    </row>
    <row r="80" spans="1:4" x14ac:dyDescent="0.25">
      <c r="A80" s="15"/>
      <c r="B80" s="16"/>
      <c r="C80" s="17"/>
      <c r="D80" s="1"/>
    </row>
    <row r="81" spans="1:4" x14ac:dyDescent="0.25">
      <c r="A81" s="15"/>
      <c r="B81" s="18"/>
      <c r="C81" s="19"/>
      <c r="D81" s="1"/>
    </row>
    <row r="82" spans="1:4" x14ac:dyDescent="0.25">
      <c r="A82" s="15"/>
      <c r="B82" s="16"/>
      <c r="C82" s="17"/>
      <c r="D82" s="1"/>
    </row>
    <row r="83" spans="1:4" x14ac:dyDescent="0.25">
      <c r="A83" s="15"/>
      <c r="B83" s="18"/>
      <c r="C83" s="19"/>
      <c r="D83" s="1"/>
    </row>
    <row r="84" spans="1:4" x14ac:dyDescent="0.25">
      <c r="A84" s="15"/>
      <c r="B84" s="18"/>
      <c r="C84" s="19"/>
      <c r="D84" s="1"/>
    </row>
    <row r="85" spans="1:4" x14ac:dyDescent="0.25">
      <c r="A85" s="15"/>
      <c r="B85" s="16"/>
      <c r="C85" s="17"/>
      <c r="D85" s="1"/>
    </row>
    <row r="86" spans="1:4" x14ac:dyDescent="0.25">
      <c r="A86" s="15"/>
      <c r="B86" s="16"/>
      <c r="C86" s="17"/>
      <c r="D86" s="1"/>
    </row>
    <row r="87" spans="1:4" x14ac:dyDescent="0.25">
      <c r="A87" s="15"/>
      <c r="B87" s="18"/>
      <c r="C87" s="19"/>
      <c r="D87" s="1"/>
    </row>
    <row r="88" spans="1:4" x14ac:dyDescent="0.25">
      <c r="A88" s="15"/>
      <c r="B88" s="18"/>
      <c r="C88" s="19"/>
      <c r="D88" s="1"/>
    </row>
    <row r="89" spans="1:4" x14ac:dyDescent="0.25">
      <c r="A89" s="15"/>
      <c r="B89" s="16"/>
      <c r="C89" s="17"/>
      <c r="D89" s="1"/>
    </row>
    <row r="90" spans="1:4" x14ac:dyDescent="0.25">
      <c r="A90" s="15"/>
      <c r="B90" s="16"/>
      <c r="C90" s="17"/>
      <c r="D90" s="1"/>
    </row>
    <row r="91" spans="1:4" x14ac:dyDescent="0.25">
      <c r="A91" s="15"/>
      <c r="B91" s="16"/>
      <c r="C91" s="17"/>
      <c r="D91" s="1"/>
    </row>
    <row r="92" spans="1:4" x14ac:dyDescent="0.25">
      <c r="A92" s="15"/>
      <c r="B92" s="18"/>
      <c r="C92" s="19"/>
      <c r="D92" s="1"/>
    </row>
    <row r="93" spans="1:4" x14ac:dyDescent="0.25">
      <c r="A93" s="15"/>
      <c r="B93" s="16"/>
      <c r="C93" s="17"/>
      <c r="D93" s="1"/>
    </row>
    <row r="94" spans="1:4" x14ac:dyDescent="0.25">
      <c r="A94" s="15"/>
      <c r="B94" s="16"/>
      <c r="C94" s="17"/>
      <c r="D94" s="1"/>
    </row>
    <row r="95" spans="1:4" x14ac:dyDescent="0.25">
      <c r="A95" s="15"/>
      <c r="B95" s="16"/>
      <c r="C95" s="17"/>
      <c r="D95" s="1"/>
    </row>
    <row r="96" spans="1:4" x14ac:dyDescent="0.25">
      <c r="A96" s="15"/>
      <c r="B96" s="18"/>
      <c r="C96" s="19"/>
      <c r="D96" s="1"/>
    </row>
    <row r="97" spans="1:4" x14ac:dyDescent="0.25">
      <c r="A97" s="15"/>
      <c r="B97" s="16"/>
      <c r="C97" s="17"/>
      <c r="D97" s="1"/>
    </row>
    <row r="98" spans="1:4" x14ac:dyDescent="0.25">
      <c r="A98" s="15"/>
      <c r="B98" s="16"/>
      <c r="C98" s="17"/>
      <c r="D98" s="1"/>
    </row>
    <row r="99" spans="1:4" x14ac:dyDescent="0.25">
      <c r="A99" s="15"/>
      <c r="B99" s="18"/>
      <c r="C99" s="19"/>
      <c r="D99" s="1"/>
    </row>
    <row r="100" spans="1:4" x14ac:dyDescent="0.25">
      <c r="A100" s="15"/>
      <c r="B100" s="16"/>
      <c r="C100" s="17"/>
      <c r="D100" s="1"/>
    </row>
    <row r="101" spans="1:4" x14ac:dyDescent="0.25">
      <c r="A101" s="15"/>
      <c r="B101" s="18"/>
      <c r="C101" s="19"/>
      <c r="D101" s="1"/>
    </row>
    <row r="102" spans="1:4" x14ac:dyDescent="0.25">
      <c r="A102" s="15"/>
      <c r="B102" s="18"/>
      <c r="C102" s="19"/>
      <c r="D102" s="1"/>
    </row>
    <row r="103" spans="1:4" x14ac:dyDescent="0.25">
      <c r="A103" s="15"/>
      <c r="B103" s="18"/>
      <c r="C103" s="19"/>
      <c r="D103" s="1"/>
    </row>
    <row r="104" spans="1:4" x14ac:dyDescent="0.25">
      <c r="A104" s="15"/>
      <c r="B104" s="18"/>
      <c r="C104" s="19"/>
      <c r="D104" s="1"/>
    </row>
    <row r="105" spans="1:4" x14ac:dyDescent="0.25">
      <c r="A105" s="15"/>
      <c r="B105" s="16"/>
      <c r="C105" s="17"/>
      <c r="D105" s="1"/>
    </row>
    <row r="106" spans="1:4" x14ac:dyDescent="0.25">
      <c r="A106" s="15"/>
      <c r="B106" s="18"/>
      <c r="C106" s="19"/>
      <c r="D106" s="1"/>
    </row>
    <row r="107" spans="1:4" x14ac:dyDescent="0.25">
      <c r="A107" s="15"/>
      <c r="B107" s="16"/>
      <c r="C107" s="17"/>
      <c r="D107" s="1"/>
    </row>
    <row r="108" spans="1:4" x14ac:dyDescent="0.25">
      <c r="A108" s="15"/>
      <c r="B108" s="16"/>
      <c r="C108" s="17"/>
      <c r="D108" s="1"/>
    </row>
    <row r="109" spans="1:4" x14ac:dyDescent="0.25">
      <c r="A109" s="15"/>
      <c r="B109" s="16"/>
      <c r="C109" s="17"/>
      <c r="D109" s="1"/>
    </row>
    <row r="110" spans="1:4" x14ac:dyDescent="0.25">
      <c r="A110" s="15"/>
      <c r="B110" s="16"/>
      <c r="C110" s="17"/>
      <c r="D110" s="1"/>
    </row>
    <row r="111" spans="1:4" x14ac:dyDescent="0.25">
      <c r="A111" s="15"/>
      <c r="B111" s="18"/>
      <c r="C111" s="19"/>
      <c r="D111" s="1"/>
    </row>
    <row r="112" spans="1:4" x14ac:dyDescent="0.25">
      <c r="A112" s="15"/>
      <c r="B112" s="16"/>
      <c r="C112" s="17"/>
      <c r="D112" s="1"/>
    </row>
    <row r="113" spans="1:4" x14ac:dyDescent="0.25">
      <c r="A113" s="15"/>
      <c r="B113" s="18"/>
      <c r="C113" s="19"/>
      <c r="D113" s="1"/>
    </row>
    <row r="114" spans="1:4" x14ac:dyDescent="0.25">
      <c r="A114" s="15"/>
      <c r="B114" s="16"/>
      <c r="C114" s="17"/>
      <c r="D114" s="1"/>
    </row>
    <row r="115" spans="1:4" x14ac:dyDescent="0.25">
      <c r="A115" s="15"/>
      <c r="B115" s="18"/>
      <c r="C115" s="19"/>
      <c r="D115" s="1"/>
    </row>
    <row r="116" spans="1:4" x14ac:dyDescent="0.25">
      <c r="A116" s="15"/>
      <c r="B116" s="18"/>
      <c r="C116" s="19"/>
      <c r="D116" s="1"/>
    </row>
    <row r="117" spans="1:4" x14ac:dyDescent="0.25">
      <c r="A117" s="15"/>
      <c r="B117" s="16"/>
      <c r="C117" s="17"/>
      <c r="D117" s="1"/>
    </row>
    <row r="118" spans="1:4" x14ac:dyDescent="0.25">
      <c r="A118" s="15"/>
      <c r="B118" s="16"/>
      <c r="C118" s="17"/>
      <c r="D118" s="1"/>
    </row>
    <row r="119" spans="1:4" x14ac:dyDescent="0.25">
      <c r="A119" s="15"/>
      <c r="B119" s="16"/>
      <c r="C119" s="17"/>
      <c r="D119" s="1"/>
    </row>
    <row r="120" spans="1:4" x14ac:dyDescent="0.25">
      <c r="A120" s="15"/>
      <c r="B120" s="16"/>
      <c r="C120" s="17"/>
      <c r="D120" s="1"/>
    </row>
    <row r="121" spans="1:4" x14ac:dyDescent="0.25">
      <c r="A121" s="15"/>
      <c r="B121" s="18"/>
      <c r="C121" s="19"/>
      <c r="D121" s="1"/>
    </row>
    <row r="122" spans="1:4" x14ac:dyDescent="0.25">
      <c r="A122" s="15"/>
      <c r="B122" s="18"/>
      <c r="C122" s="19"/>
      <c r="D122" s="1"/>
    </row>
    <row r="123" spans="1:4" x14ac:dyDescent="0.25">
      <c r="A123" s="15"/>
      <c r="B123" s="18"/>
      <c r="C123" s="19"/>
      <c r="D123" s="1"/>
    </row>
    <row r="124" spans="1:4" x14ac:dyDescent="0.25">
      <c r="A124" s="15"/>
      <c r="B124" s="18"/>
      <c r="C124" s="19"/>
      <c r="D124" s="1"/>
    </row>
    <row r="125" spans="1:4" x14ac:dyDescent="0.25">
      <c r="A125" s="15"/>
      <c r="B125" s="16"/>
      <c r="C125" s="17"/>
      <c r="D125" s="1"/>
    </row>
    <row r="126" spans="1:4" x14ac:dyDescent="0.25">
      <c r="A126" s="15"/>
      <c r="B126" s="18"/>
      <c r="C126" s="19"/>
      <c r="D126" s="1"/>
    </row>
    <row r="127" spans="1:4" x14ac:dyDescent="0.25">
      <c r="A127" s="15"/>
      <c r="B127" s="16"/>
      <c r="C127" s="17"/>
      <c r="D127" s="1"/>
    </row>
    <row r="128" spans="1:4" x14ac:dyDescent="0.25">
      <c r="A128" s="15"/>
      <c r="B128" s="18"/>
      <c r="C128" s="19"/>
      <c r="D128" s="1"/>
    </row>
    <row r="129" spans="1:4" x14ac:dyDescent="0.25">
      <c r="A129" s="15"/>
      <c r="B129" s="18"/>
      <c r="C129" s="19"/>
      <c r="D129" s="1"/>
    </row>
    <row r="130" spans="1:4" x14ac:dyDescent="0.25">
      <c r="A130" s="15"/>
      <c r="B130" s="18"/>
      <c r="C130" s="19"/>
      <c r="D130" s="1"/>
    </row>
    <row r="131" spans="1:4" x14ac:dyDescent="0.25">
      <c r="A131" s="15"/>
      <c r="B131" s="16"/>
      <c r="C131" s="17"/>
      <c r="D131" s="1"/>
    </row>
    <row r="132" spans="1:4" x14ac:dyDescent="0.25">
      <c r="A132" s="15"/>
      <c r="B132" s="18"/>
      <c r="C132" s="19"/>
      <c r="D132" s="1"/>
    </row>
    <row r="133" spans="1:4" x14ac:dyDescent="0.25">
      <c r="A133" s="15"/>
      <c r="B133" s="16"/>
      <c r="C133" s="17"/>
      <c r="D133" s="1"/>
    </row>
    <row r="134" spans="1:4" x14ac:dyDescent="0.25">
      <c r="A134" s="15"/>
      <c r="B134" s="16"/>
      <c r="C134" s="17"/>
      <c r="D134" s="1"/>
    </row>
    <row r="135" spans="1:4" x14ac:dyDescent="0.25">
      <c r="A135" s="15"/>
      <c r="B135" s="18"/>
      <c r="C135" s="19"/>
      <c r="D135" s="1"/>
    </row>
    <row r="136" spans="1:4" x14ac:dyDescent="0.25">
      <c r="A136" s="15"/>
      <c r="B136" s="16"/>
      <c r="C136" s="17"/>
      <c r="D136" s="1"/>
    </row>
    <row r="145" spans="3:4" x14ac:dyDescent="0.25">
      <c r="C145" s="2"/>
      <c r="D145" s="1"/>
    </row>
    <row r="146" spans="3:4" x14ac:dyDescent="0.25">
      <c r="C146" s="2"/>
      <c r="D146" s="1"/>
    </row>
    <row r="147" spans="3:4" x14ac:dyDescent="0.25">
      <c r="C147" s="2"/>
      <c r="D147" s="1"/>
    </row>
    <row r="148" spans="3:4" x14ac:dyDescent="0.25">
      <c r="C148" s="2"/>
      <c r="D148" s="1"/>
    </row>
    <row r="149" spans="3:4" x14ac:dyDescent="0.25">
      <c r="C149" s="2"/>
      <c r="D149" s="1"/>
    </row>
    <row r="150" spans="3:4" x14ac:dyDescent="0.25">
      <c r="C150" s="2"/>
      <c r="D150" s="1"/>
    </row>
    <row r="151" spans="3:4" x14ac:dyDescent="0.25">
      <c r="C151" s="2"/>
      <c r="D151" s="1"/>
    </row>
    <row r="152" spans="3:4" x14ac:dyDescent="0.25">
      <c r="C152" s="2"/>
      <c r="D152" s="1"/>
    </row>
    <row r="153" spans="3:4" x14ac:dyDescent="0.25">
      <c r="C153" s="2"/>
      <c r="D153" s="1"/>
    </row>
    <row r="154" spans="3:4" x14ac:dyDescent="0.25">
      <c r="C154" s="2"/>
      <c r="D154" s="1"/>
    </row>
    <row r="155" spans="3:4" x14ac:dyDescent="0.25">
      <c r="C155" s="2"/>
      <c r="D155" s="1"/>
    </row>
    <row r="156" spans="3:4" x14ac:dyDescent="0.25">
      <c r="C156" s="2"/>
      <c r="D156" s="1"/>
    </row>
    <row r="157" spans="3:4" x14ac:dyDescent="0.25">
      <c r="C157" s="2"/>
      <c r="D157" s="1"/>
    </row>
    <row r="158" spans="3:4" x14ac:dyDescent="0.25">
      <c r="C158" s="2"/>
      <c r="D158" s="1"/>
    </row>
    <row r="159" spans="3:4" x14ac:dyDescent="0.25">
      <c r="C159" s="2"/>
      <c r="D159" s="1"/>
    </row>
    <row r="160" spans="3:4" x14ac:dyDescent="0.25">
      <c r="C160" s="2"/>
      <c r="D160" s="1"/>
    </row>
    <row r="161" spans="3:4" x14ac:dyDescent="0.25">
      <c r="C161" s="2"/>
      <c r="D161" s="1"/>
    </row>
    <row r="162" spans="3:4" x14ac:dyDescent="0.25">
      <c r="C162" s="2"/>
      <c r="D162" s="1"/>
    </row>
    <row r="163" spans="3:4" x14ac:dyDescent="0.25">
      <c r="C163" s="2"/>
      <c r="D163" s="1"/>
    </row>
    <row r="164" spans="3:4" x14ac:dyDescent="0.25">
      <c r="C164" s="2"/>
      <c r="D164" s="1"/>
    </row>
    <row r="165" spans="3:4" x14ac:dyDescent="0.25">
      <c r="C165" s="2"/>
      <c r="D165" s="1"/>
    </row>
    <row r="166" spans="3:4" x14ac:dyDescent="0.25">
      <c r="C166" s="2"/>
      <c r="D166" s="1"/>
    </row>
    <row r="167" spans="3:4" x14ac:dyDescent="0.25">
      <c r="C167" s="2"/>
      <c r="D167" s="1"/>
    </row>
    <row r="168" spans="3:4" x14ac:dyDescent="0.25">
      <c r="C168" s="2"/>
      <c r="D168" s="1"/>
    </row>
    <row r="169" spans="3:4" x14ac:dyDescent="0.25">
      <c r="C169" s="2"/>
      <c r="D169" s="1"/>
    </row>
    <row r="170" spans="3:4" x14ac:dyDescent="0.25">
      <c r="C170" s="2"/>
      <c r="D170" s="1"/>
    </row>
    <row r="171" spans="3:4" x14ac:dyDescent="0.25">
      <c r="C171" s="2"/>
      <c r="D171" s="1"/>
    </row>
    <row r="172" spans="3:4" x14ac:dyDescent="0.25">
      <c r="C172" s="2"/>
      <c r="D172" s="1"/>
    </row>
    <row r="173" spans="3:4" x14ac:dyDescent="0.25">
      <c r="C173" s="2"/>
      <c r="D173" s="1"/>
    </row>
    <row r="174" spans="3:4" x14ac:dyDescent="0.25">
      <c r="C174" s="2"/>
      <c r="D174" s="1"/>
    </row>
    <row r="175" spans="3:4" x14ac:dyDescent="0.25">
      <c r="C175" s="2"/>
      <c r="D175" s="1"/>
    </row>
    <row r="176" spans="3:4" x14ac:dyDescent="0.25">
      <c r="C176" s="2"/>
      <c r="D176" s="1"/>
    </row>
    <row r="177" spans="3:4" x14ac:dyDescent="0.25">
      <c r="C177" s="2"/>
      <c r="D177" s="1"/>
    </row>
    <row r="178" spans="3:4" x14ac:dyDescent="0.25">
      <c r="C178" s="2"/>
      <c r="D178" s="1"/>
    </row>
    <row r="179" spans="3:4" x14ac:dyDescent="0.25">
      <c r="C179" s="2"/>
      <c r="D179" s="1"/>
    </row>
    <row r="180" spans="3:4" x14ac:dyDescent="0.25">
      <c r="C180" s="2"/>
      <c r="D180" s="1"/>
    </row>
    <row r="181" spans="3:4" x14ac:dyDescent="0.25">
      <c r="C181" s="2"/>
      <c r="D181" s="1"/>
    </row>
    <row r="182" spans="3:4" x14ac:dyDescent="0.25">
      <c r="C182" s="2"/>
      <c r="D182" s="1"/>
    </row>
    <row r="183" spans="3:4" x14ac:dyDescent="0.25">
      <c r="C183" s="2"/>
      <c r="D183" s="1"/>
    </row>
    <row r="184" spans="3:4" x14ac:dyDescent="0.25">
      <c r="C184" s="2"/>
      <c r="D184" s="1"/>
    </row>
    <row r="185" spans="3:4" x14ac:dyDescent="0.25">
      <c r="C185" s="2"/>
      <c r="D185" s="1"/>
    </row>
    <row r="186" spans="3:4" x14ac:dyDescent="0.25">
      <c r="C186" s="2"/>
      <c r="D186" s="1"/>
    </row>
    <row r="187" spans="3:4" x14ac:dyDescent="0.25">
      <c r="C187" s="2"/>
      <c r="D187" s="1"/>
    </row>
    <row r="188" spans="3:4" x14ac:dyDescent="0.25">
      <c r="C188" s="2"/>
      <c r="D188" s="1"/>
    </row>
    <row r="189" spans="3:4" x14ac:dyDescent="0.25">
      <c r="C189" s="2"/>
      <c r="D189" s="1"/>
    </row>
    <row r="190" spans="3:4" x14ac:dyDescent="0.25">
      <c r="C190" s="2"/>
      <c r="D190" s="1"/>
    </row>
    <row r="191" spans="3:4" x14ac:dyDescent="0.25">
      <c r="C191" s="2"/>
      <c r="D191" s="1"/>
    </row>
    <row r="192" spans="3:4" x14ac:dyDescent="0.25">
      <c r="C192" s="2"/>
      <c r="D192" s="1"/>
    </row>
    <row r="193" spans="3:4" x14ac:dyDescent="0.25">
      <c r="C193" s="2"/>
      <c r="D193" s="1"/>
    </row>
    <row r="194" spans="3:4" x14ac:dyDescent="0.25">
      <c r="C194" s="2"/>
      <c r="D194" s="1"/>
    </row>
    <row r="195" spans="3:4" x14ac:dyDescent="0.25">
      <c r="C195" s="2"/>
      <c r="D195" s="1"/>
    </row>
    <row r="196" spans="3:4" x14ac:dyDescent="0.25">
      <c r="C196" s="2"/>
      <c r="D196" s="1"/>
    </row>
    <row r="197" spans="3:4" x14ac:dyDescent="0.25">
      <c r="C197" s="2"/>
      <c r="D197" s="1"/>
    </row>
    <row r="198" spans="3:4" x14ac:dyDescent="0.25">
      <c r="C198" s="2"/>
      <c r="D198" s="1"/>
    </row>
    <row r="199" spans="3:4" x14ac:dyDescent="0.25">
      <c r="C199" s="2"/>
      <c r="D199" s="1"/>
    </row>
    <row r="200" spans="3:4" x14ac:dyDescent="0.25">
      <c r="C200" s="2"/>
      <c r="D200" s="1"/>
    </row>
    <row r="201" spans="3:4" x14ac:dyDescent="0.25">
      <c r="C201" s="2"/>
      <c r="D201" s="1"/>
    </row>
    <row r="202" spans="3:4" x14ac:dyDescent="0.25">
      <c r="C202" s="2"/>
      <c r="D202" s="1"/>
    </row>
    <row r="203" spans="3:4" x14ac:dyDescent="0.25">
      <c r="C203" s="2"/>
      <c r="D203" s="1"/>
    </row>
    <row r="204" spans="3:4" x14ac:dyDescent="0.25">
      <c r="C204" s="2"/>
      <c r="D204" s="1"/>
    </row>
    <row r="205" spans="3:4" x14ac:dyDescent="0.25">
      <c r="C205" s="2"/>
      <c r="D205" s="1"/>
    </row>
    <row r="206" spans="3:4" x14ac:dyDescent="0.25">
      <c r="C206" s="2"/>
      <c r="D206" s="1"/>
    </row>
    <row r="207" spans="3:4" x14ac:dyDescent="0.25">
      <c r="C207" s="2"/>
      <c r="D207" s="1"/>
    </row>
    <row r="208" spans="3:4" x14ac:dyDescent="0.25">
      <c r="C208" s="2"/>
      <c r="D208" s="1"/>
    </row>
    <row r="209" spans="3:4" x14ac:dyDescent="0.25">
      <c r="C209" s="2"/>
      <c r="D209" s="1"/>
    </row>
    <row r="210" spans="3:4" x14ac:dyDescent="0.25">
      <c r="C210" s="2"/>
      <c r="D210" s="1"/>
    </row>
    <row r="211" spans="3:4" x14ac:dyDescent="0.25">
      <c r="C211" s="2"/>
      <c r="D211" s="1"/>
    </row>
    <row r="212" spans="3:4" x14ac:dyDescent="0.25">
      <c r="C212" s="2"/>
      <c r="D212" s="1"/>
    </row>
    <row r="213" spans="3:4" x14ac:dyDescent="0.25">
      <c r="C213" s="2"/>
      <c r="D213" s="1"/>
    </row>
    <row r="214" spans="3:4" x14ac:dyDescent="0.25">
      <c r="C214" s="2"/>
      <c r="D214" s="1"/>
    </row>
    <row r="215" spans="3:4" x14ac:dyDescent="0.25">
      <c r="C215" s="2"/>
      <c r="D215" s="1"/>
    </row>
    <row r="216" spans="3:4" x14ac:dyDescent="0.25">
      <c r="C216" s="2"/>
      <c r="D216" s="1"/>
    </row>
    <row r="217" spans="3:4" x14ac:dyDescent="0.25">
      <c r="C217" s="2"/>
      <c r="D217" s="1"/>
    </row>
    <row r="218" spans="3:4" x14ac:dyDescent="0.25">
      <c r="C218" s="2"/>
      <c r="D218" s="1"/>
    </row>
    <row r="219" spans="3:4" x14ac:dyDescent="0.25">
      <c r="C219" s="2"/>
      <c r="D219" s="1"/>
    </row>
    <row r="220" spans="3:4" x14ac:dyDescent="0.25">
      <c r="C220" s="2"/>
      <c r="D220" s="1"/>
    </row>
    <row r="221" spans="3:4" x14ac:dyDescent="0.25">
      <c r="C221" s="2"/>
      <c r="D221" s="1"/>
    </row>
    <row r="222" spans="3:4" x14ac:dyDescent="0.25">
      <c r="C222" s="2"/>
      <c r="D222" s="1"/>
    </row>
    <row r="223" spans="3:4" x14ac:dyDescent="0.25">
      <c r="C223" s="2"/>
      <c r="D223" s="1"/>
    </row>
    <row r="224" spans="3:4" x14ac:dyDescent="0.25">
      <c r="C224" s="2"/>
      <c r="D224" s="1"/>
    </row>
    <row r="225" spans="3:4" x14ac:dyDescent="0.25">
      <c r="C225" s="2"/>
      <c r="D225" s="1"/>
    </row>
    <row r="226" spans="3:4" x14ac:dyDescent="0.25">
      <c r="C226" s="2"/>
      <c r="D226" s="1"/>
    </row>
    <row r="227" spans="3:4" x14ac:dyDescent="0.25">
      <c r="C227" s="2"/>
      <c r="D227" s="1"/>
    </row>
    <row r="228" spans="3:4" x14ac:dyDescent="0.25">
      <c r="C228" s="2"/>
      <c r="D228" s="1"/>
    </row>
    <row r="229" spans="3:4" x14ac:dyDescent="0.25">
      <c r="C229" s="2"/>
      <c r="D229" s="1"/>
    </row>
    <row r="230" spans="3:4" x14ac:dyDescent="0.25">
      <c r="C230" s="2"/>
      <c r="D230" s="1"/>
    </row>
    <row r="231" spans="3:4" x14ac:dyDescent="0.25">
      <c r="C231" s="2"/>
      <c r="D231" s="1"/>
    </row>
    <row r="232" spans="3:4" x14ac:dyDescent="0.25">
      <c r="C232" s="2"/>
      <c r="D232" s="1"/>
    </row>
    <row r="233" spans="3:4" x14ac:dyDescent="0.25">
      <c r="C233" s="2"/>
      <c r="D233" s="1"/>
    </row>
    <row r="234" spans="3:4" x14ac:dyDescent="0.25">
      <c r="C234" s="2"/>
      <c r="D234" s="1"/>
    </row>
    <row r="235" spans="3:4" x14ac:dyDescent="0.25">
      <c r="C235" s="2"/>
      <c r="D235" s="1"/>
    </row>
    <row r="236" spans="3:4" x14ac:dyDescent="0.25">
      <c r="C236" s="2"/>
      <c r="D236" s="1"/>
    </row>
    <row r="237" spans="3:4" x14ac:dyDescent="0.25">
      <c r="C237" s="2"/>
      <c r="D237" s="1"/>
    </row>
    <row r="238" spans="3:4" x14ac:dyDescent="0.25">
      <c r="C238" s="2"/>
      <c r="D238" s="1"/>
    </row>
    <row r="239" spans="3:4" x14ac:dyDescent="0.25">
      <c r="C239" s="2"/>
      <c r="D239" s="1"/>
    </row>
    <row r="240" spans="3:4" x14ac:dyDescent="0.25">
      <c r="C240" s="2"/>
      <c r="D240" s="1"/>
    </row>
    <row r="241" spans="3:4" x14ac:dyDescent="0.25">
      <c r="C241" s="2"/>
      <c r="D241" s="1"/>
    </row>
    <row r="242" spans="3:4" x14ac:dyDescent="0.25">
      <c r="C242" s="2"/>
      <c r="D242" s="1"/>
    </row>
    <row r="243" spans="3:4" x14ac:dyDescent="0.25">
      <c r="C243" s="2"/>
      <c r="D243" s="1"/>
    </row>
    <row r="244" spans="3:4" x14ac:dyDescent="0.25">
      <c r="C244" s="2"/>
      <c r="D244" s="1"/>
    </row>
    <row r="245" spans="3:4" x14ac:dyDescent="0.25">
      <c r="C245" s="2"/>
      <c r="D245" s="1"/>
    </row>
    <row r="246" spans="3:4" x14ac:dyDescent="0.25">
      <c r="C246" s="2"/>
      <c r="D246" s="1"/>
    </row>
    <row r="247" spans="3:4" x14ac:dyDescent="0.25">
      <c r="C247" s="2"/>
      <c r="D247" s="1"/>
    </row>
    <row r="248" spans="3:4" x14ac:dyDescent="0.25">
      <c r="C248" s="2"/>
      <c r="D248" s="1"/>
    </row>
    <row r="249" spans="3:4" x14ac:dyDescent="0.25">
      <c r="C249" s="2"/>
      <c r="D249" s="1"/>
    </row>
    <row r="250" spans="3:4" x14ac:dyDescent="0.25">
      <c r="C250" s="2"/>
      <c r="D250" s="1"/>
    </row>
    <row r="251" spans="3:4" x14ac:dyDescent="0.25">
      <c r="C251" s="2"/>
      <c r="D251" s="1"/>
    </row>
    <row r="252" spans="3:4" x14ac:dyDescent="0.25">
      <c r="C252" s="2"/>
      <c r="D252" s="1"/>
    </row>
    <row r="253" spans="3:4" x14ac:dyDescent="0.25">
      <c r="C253" s="2"/>
      <c r="D253" s="1"/>
    </row>
    <row r="254" spans="3:4" x14ac:dyDescent="0.25">
      <c r="C254" s="2"/>
      <c r="D254" s="1"/>
    </row>
    <row r="255" spans="3:4" x14ac:dyDescent="0.25">
      <c r="C255" s="2"/>
      <c r="D255" s="1"/>
    </row>
    <row r="256" spans="3:4" x14ac:dyDescent="0.25">
      <c r="C256" s="2"/>
      <c r="D256" s="1"/>
    </row>
    <row r="257" spans="3:4" x14ac:dyDescent="0.25">
      <c r="C257" s="2"/>
      <c r="D257" s="1"/>
    </row>
    <row r="258" spans="3:4" x14ac:dyDescent="0.25">
      <c r="C258" s="2"/>
      <c r="D258" s="1"/>
    </row>
    <row r="259" spans="3:4" x14ac:dyDescent="0.25">
      <c r="C259" s="2"/>
      <c r="D259" s="1"/>
    </row>
    <row r="260" spans="3:4" x14ac:dyDescent="0.25">
      <c r="C260" s="2"/>
      <c r="D260" s="1"/>
    </row>
    <row r="261" spans="3:4" x14ac:dyDescent="0.25">
      <c r="C261" s="2"/>
      <c r="D261" s="1"/>
    </row>
    <row r="262" spans="3:4" x14ac:dyDescent="0.25">
      <c r="C262" s="2"/>
      <c r="D262" s="1"/>
    </row>
    <row r="263" spans="3:4" x14ac:dyDescent="0.25">
      <c r="C263" s="2"/>
      <c r="D263" s="1"/>
    </row>
    <row r="264" spans="3:4" x14ac:dyDescent="0.25">
      <c r="C264" s="2"/>
      <c r="D264" s="1"/>
    </row>
    <row r="265" spans="3:4" x14ac:dyDescent="0.25">
      <c r="C265" s="2"/>
      <c r="D265" s="1"/>
    </row>
    <row r="266" spans="3:4" x14ac:dyDescent="0.25">
      <c r="C266" s="2"/>
      <c r="D266" s="1"/>
    </row>
    <row r="267" spans="3:4" x14ac:dyDescent="0.25">
      <c r="C267" s="2"/>
      <c r="D267" s="1"/>
    </row>
    <row r="268" spans="3:4" x14ac:dyDescent="0.25">
      <c r="C268" s="2"/>
      <c r="D268" s="1"/>
    </row>
    <row r="269" spans="3:4" x14ac:dyDescent="0.25">
      <c r="C269" s="2"/>
      <c r="D269" s="1"/>
    </row>
    <row r="270" spans="3:4" x14ac:dyDescent="0.25">
      <c r="C270" s="2"/>
      <c r="D270" s="1"/>
    </row>
    <row r="271" spans="3:4" x14ac:dyDescent="0.25">
      <c r="C271" s="2"/>
      <c r="D271" s="1"/>
    </row>
    <row r="272" spans="3:4" x14ac:dyDescent="0.25">
      <c r="C272" s="2"/>
      <c r="D272" s="1"/>
    </row>
    <row r="273" spans="3:4" x14ac:dyDescent="0.25">
      <c r="C273" s="2"/>
      <c r="D273" s="1"/>
    </row>
    <row r="274" spans="3:4" x14ac:dyDescent="0.25">
      <c r="C274" s="2"/>
      <c r="D274" s="1"/>
    </row>
    <row r="275" spans="3:4" x14ac:dyDescent="0.25">
      <c r="C275" s="2"/>
      <c r="D275" s="1"/>
    </row>
    <row r="276" spans="3:4" x14ac:dyDescent="0.25">
      <c r="C276" s="2"/>
      <c r="D276" s="1"/>
    </row>
    <row r="277" spans="3:4" x14ac:dyDescent="0.25">
      <c r="C277" s="2"/>
      <c r="D277" s="1"/>
    </row>
    <row r="278" spans="3:4" x14ac:dyDescent="0.25">
      <c r="C278" s="2"/>
      <c r="D278" s="1"/>
    </row>
    <row r="279" spans="3:4" x14ac:dyDescent="0.25">
      <c r="C279" s="2"/>
      <c r="D279" s="1"/>
    </row>
    <row r="280" spans="3:4" x14ac:dyDescent="0.25">
      <c r="C280" s="2"/>
      <c r="D280" s="1"/>
    </row>
    <row r="281" spans="3:4" x14ac:dyDescent="0.25">
      <c r="C281" s="2"/>
      <c r="D281" s="1"/>
    </row>
    <row r="282" spans="3:4" x14ac:dyDescent="0.25">
      <c r="C282" s="2"/>
      <c r="D282" s="1"/>
    </row>
    <row r="283" spans="3:4" x14ac:dyDescent="0.25">
      <c r="C283" s="2"/>
      <c r="D283" s="1"/>
    </row>
    <row r="284" spans="3:4" x14ac:dyDescent="0.25">
      <c r="C284" s="2"/>
      <c r="D284" s="1"/>
    </row>
    <row r="285" spans="3:4" x14ac:dyDescent="0.25">
      <c r="C285" s="2"/>
      <c r="D285" s="1"/>
    </row>
    <row r="286" spans="3:4" x14ac:dyDescent="0.25">
      <c r="C286" s="2"/>
      <c r="D286" s="1"/>
    </row>
    <row r="287" spans="3:4" x14ac:dyDescent="0.25">
      <c r="C287" s="2"/>
      <c r="D287" s="1"/>
    </row>
    <row r="288" spans="3:4" x14ac:dyDescent="0.25">
      <c r="C288" s="2"/>
      <c r="D288" s="1"/>
    </row>
    <row r="289" spans="3:4" x14ac:dyDescent="0.25">
      <c r="C289" s="2"/>
      <c r="D289" s="1"/>
    </row>
    <row r="290" spans="3:4" x14ac:dyDescent="0.25">
      <c r="C290" s="2"/>
      <c r="D290" s="1"/>
    </row>
    <row r="291" spans="3:4" x14ac:dyDescent="0.25">
      <c r="C291" s="2"/>
      <c r="D291" s="1"/>
    </row>
    <row r="292" spans="3:4" x14ac:dyDescent="0.25">
      <c r="C292" s="2"/>
      <c r="D292" s="1"/>
    </row>
    <row r="293" spans="3:4" x14ac:dyDescent="0.25">
      <c r="C293" s="2"/>
      <c r="D293" s="1"/>
    </row>
    <row r="294" spans="3:4" x14ac:dyDescent="0.25">
      <c r="C294" s="2"/>
      <c r="D294" s="1"/>
    </row>
    <row r="295" spans="3:4" x14ac:dyDescent="0.25">
      <c r="C295" s="2"/>
      <c r="D295" s="1"/>
    </row>
    <row r="296" spans="3:4" x14ac:dyDescent="0.25">
      <c r="C296" s="2"/>
      <c r="D296" s="1"/>
    </row>
    <row r="297" spans="3:4" x14ac:dyDescent="0.25">
      <c r="C297" s="2"/>
      <c r="D297" s="1"/>
    </row>
    <row r="298" spans="3:4" x14ac:dyDescent="0.25">
      <c r="C298" s="2"/>
      <c r="D298" s="1"/>
    </row>
    <row r="299" spans="3:4" x14ac:dyDescent="0.25">
      <c r="C299" s="2"/>
      <c r="D299" s="1"/>
    </row>
    <row r="300" spans="3:4" x14ac:dyDescent="0.25">
      <c r="C300" s="2"/>
      <c r="D300" s="1"/>
    </row>
    <row r="301" spans="3:4" x14ac:dyDescent="0.25">
      <c r="C301" s="2"/>
      <c r="D301" s="1"/>
    </row>
    <row r="302" spans="3:4" x14ac:dyDescent="0.25">
      <c r="C302" s="2"/>
      <c r="D302" s="1"/>
    </row>
    <row r="303" spans="3:4" x14ac:dyDescent="0.25">
      <c r="C303" s="2"/>
      <c r="D303" s="1"/>
    </row>
    <row r="304" spans="3:4" x14ac:dyDescent="0.25">
      <c r="C304" s="2"/>
      <c r="D304" s="1"/>
    </row>
    <row r="305" spans="3:4" x14ac:dyDescent="0.25">
      <c r="C305" s="2"/>
      <c r="D305" s="1"/>
    </row>
    <row r="306" spans="3:4" x14ac:dyDescent="0.25">
      <c r="C306" s="2"/>
      <c r="D306" s="1"/>
    </row>
    <row r="307" spans="3:4" x14ac:dyDescent="0.25">
      <c r="C307" s="2"/>
      <c r="D307" s="1"/>
    </row>
    <row r="308" spans="3:4" x14ac:dyDescent="0.25">
      <c r="C308" s="2"/>
      <c r="D308" s="1"/>
    </row>
    <row r="309" spans="3:4" x14ac:dyDescent="0.25">
      <c r="C309" s="2"/>
      <c r="D309" s="1"/>
    </row>
    <row r="310" spans="3:4" x14ac:dyDescent="0.25">
      <c r="C310" s="2"/>
      <c r="D310" s="1"/>
    </row>
    <row r="311" spans="3:4" x14ac:dyDescent="0.25">
      <c r="C311" s="2"/>
      <c r="D311" s="1"/>
    </row>
    <row r="312" spans="3:4" x14ac:dyDescent="0.25">
      <c r="C312" s="2"/>
      <c r="D312" s="1"/>
    </row>
    <row r="313" spans="3:4" x14ac:dyDescent="0.25">
      <c r="C313" s="2"/>
      <c r="D313" s="1"/>
    </row>
    <row r="314" spans="3:4" x14ac:dyDescent="0.25">
      <c r="C314" s="2"/>
      <c r="D314" s="1"/>
    </row>
    <row r="315" spans="3:4" x14ac:dyDescent="0.25">
      <c r="C315" s="2"/>
      <c r="D315" s="1"/>
    </row>
    <row r="316" spans="3:4" x14ac:dyDescent="0.25">
      <c r="C316" s="2"/>
      <c r="D316" s="1"/>
    </row>
    <row r="317" spans="3:4" x14ac:dyDescent="0.25">
      <c r="C317" s="2"/>
      <c r="D317" s="1"/>
    </row>
    <row r="318" spans="3:4" x14ac:dyDescent="0.25">
      <c r="C318" s="2"/>
      <c r="D318" s="1"/>
    </row>
    <row r="319" spans="3:4" x14ac:dyDescent="0.25">
      <c r="C319" s="2"/>
      <c r="D319" s="1"/>
    </row>
    <row r="320" spans="3:4" x14ac:dyDescent="0.25">
      <c r="C320" s="2"/>
      <c r="D320" s="1"/>
    </row>
    <row r="321" spans="3:4" x14ac:dyDescent="0.25">
      <c r="C321" s="2"/>
      <c r="D321" s="1"/>
    </row>
    <row r="322" spans="3:4" x14ac:dyDescent="0.25">
      <c r="C322" s="2"/>
      <c r="D322" s="1"/>
    </row>
    <row r="323" spans="3:4" x14ac:dyDescent="0.25">
      <c r="C323" s="2"/>
      <c r="D323" s="1"/>
    </row>
    <row r="324" spans="3:4" x14ac:dyDescent="0.25">
      <c r="C324" s="2"/>
      <c r="D324" s="1"/>
    </row>
    <row r="325" spans="3:4" x14ac:dyDescent="0.25">
      <c r="C325" s="2"/>
      <c r="D325" s="1"/>
    </row>
    <row r="326" spans="3:4" x14ac:dyDescent="0.25">
      <c r="C326" s="2"/>
      <c r="D326" s="1"/>
    </row>
    <row r="327" spans="3:4" x14ac:dyDescent="0.25">
      <c r="C327" s="2"/>
      <c r="D327" s="1"/>
    </row>
    <row r="328" spans="3:4" x14ac:dyDescent="0.25">
      <c r="C328" s="2"/>
      <c r="D328" s="1"/>
    </row>
    <row r="329" spans="3:4" x14ac:dyDescent="0.25">
      <c r="C329" s="2"/>
      <c r="D329" s="1"/>
    </row>
    <row r="330" spans="3:4" x14ac:dyDescent="0.25">
      <c r="C330" s="2"/>
      <c r="D330" s="1"/>
    </row>
    <row r="331" spans="3:4" x14ac:dyDescent="0.25">
      <c r="C331" s="2"/>
      <c r="D331" s="1"/>
    </row>
    <row r="332" spans="3:4" x14ac:dyDescent="0.25">
      <c r="C332" s="2"/>
      <c r="D332" s="1"/>
    </row>
    <row r="333" spans="3:4" x14ac:dyDescent="0.25">
      <c r="C333" s="2"/>
      <c r="D333" s="1"/>
    </row>
    <row r="334" spans="3:4" x14ac:dyDescent="0.25">
      <c r="C334" s="2"/>
      <c r="D334" s="1"/>
    </row>
    <row r="335" spans="3:4" x14ac:dyDescent="0.25">
      <c r="C335" s="2"/>
      <c r="D335" s="1"/>
    </row>
    <row r="336" spans="3:4" x14ac:dyDescent="0.25">
      <c r="C336" s="2"/>
      <c r="D336" s="1"/>
    </row>
    <row r="337" spans="3:4" x14ac:dyDescent="0.25">
      <c r="C337" s="2"/>
      <c r="D337" s="1"/>
    </row>
    <row r="338" spans="3:4" x14ac:dyDescent="0.25">
      <c r="C338" s="2"/>
      <c r="D338" s="1"/>
    </row>
    <row r="339" spans="3:4" x14ac:dyDescent="0.25">
      <c r="C339" s="2"/>
      <c r="D339" s="1"/>
    </row>
    <row r="340" spans="3:4" x14ac:dyDescent="0.25">
      <c r="C340" s="2"/>
      <c r="D340" s="1"/>
    </row>
    <row r="341" spans="3:4" x14ac:dyDescent="0.25">
      <c r="C341" s="2"/>
      <c r="D341" s="1"/>
    </row>
    <row r="342" spans="3:4" x14ac:dyDescent="0.25">
      <c r="C342" s="2"/>
      <c r="D342" s="1"/>
    </row>
    <row r="343" spans="3:4" x14ac:dyDescent="0.25">
      <c r="C343" s="2"/>
      <c r="D343" s="1"/>
    </row>
    <row r="344" spans="3:4" x14ac:dyDescent="0.25">
      <c r="C344" s="2"/>
      <c r="D344" s="1"/>
    </row>
    <row r="345" spans="3:4" x14ac:dyDescent="0.25">
      <c r="C345" s="2"/>
      <c r="D345" s="1"/>
    </row>
    <row r="346" spans="3:4" x14ac:dyDescent="0.25">
      <c r="C346" s="2"/>
      <c r="D346" s="1"/>
    </row>
    <row r="347" spans="3:4" x14ac:dyDescent="0.25">
      <c r="C347" s="2"/>
      <c r="D347" s="1"/>
    </row>
    <row r="348" spans="3:4" x14ac:dyDescent="0.25">
      <c r="C348" s="2"/>
      <c r="D348" s="1"/>
    </row>
    <row r="349" spans="3:4" x14ac:dyDescent="0.25">
      <c r="C349" s="2"/>
      <c r="D349" s="1"/>
    </row>
    <row r="350" spans="3:4" x14ac:dyDescent="0.25">
      <c r="C350" s="2"/>
      <c r="D350" s="1"/>
    </row>
    <row r="351" spans="3:4" x14ac:dyDescent="0.25">
      <c r="C351" s="2"/>
      <c r="D351" s="1"/>
    </row>
    <row r="352" spans="3:4" x14ac:dyDescent="0.25">
      <c r="C352" s="2"/>
      <c r="D352" s="1"/>
    </row>
    <row r="353" spans="3:4" x14ac:dyDescent="0.25">
      <c r="C353" s="2"/>
      <c r="D353" s="1"/>
    </row>
    <row r="354" spans="3:4" x14ac:dyDescent="0.25">
      <c r="C354" s="2"/>
      <c r="D354" s="1"/>
    </row>
    <row r="355" spans="3:4" x14ac:dyDescent="0.25">
      <c r="C355" s="2"/>
      <c r="D355" s="1"/>
    </row>
    <row r="356" spans="3:4" x14ac:dyDescent="0.25">
      <c r="C356" s="2"/>
      <c r="D356" s="1"/>
    </row>
    <row r="357" spans="3:4" x14ac:dyDescent="0.25">
      <c r="C357" s="2"/>
      <c r="D357" s="1"/>
    </row>
    <row r="358" spans="3:4" x14ac:dyDescent="0.25">
      <c r="C358" s="2"/>
      <c r="D358" s="1"/>
    </row>
    <row r="359" spans="3:4" x14ac:dyDescent="0.25">
      <c r="C359" s="2"/>
      <c r="D359" s="1"/>
    </row>
    <row r="360" spans="3:4" x14ac:dyDescent="0.25">
      <c r="C360" s="2"/>
      <c r="D360" s="1"/>
    </row>
    <row r="361" spans="3:4" x14ac:dyDescent="0.25">
      <c r="C361" s="2"/>
      <c r="D361" s="1"/>
    </row>
    <row r="362" spans="3:4" x14ac:dyDescent="0.25">
      <c r="C362" s="2"/>
      <c r="D362" s="1"/>
    </row>
    <row r="363" spans="3:4" x14ac:dyDescent="0.25">
      <c r="C363" s="2"/>
      <c r="D363" s="1"/>
    </row>
    <row r="364" spans="3:4" x14ac:dyDescent="0.25">
      <c r="C364" s="2"/>
      <c r="D364" s="1"/>
    </row>
    <row r="365" spans="3:4" x14ac:dyDescent="0.25">
      <c r="C365" s="2"/>
      <c r="D365" s="1"/>
    </row>
    <row r="366" spans="3:4" x14ac:dyDescent="0.25">
      <c r="C366" s="2"/>
      <c r="D366" s="1"/>
    </row>
    <row r="367" spans="3:4" x14ac:dyDescent="0.25">
      <c r="C367" s="2"/>
      <c r="D367" s="1"/>
    </row>
    <row r="368" spans="3:4" x14ac:dyDescent="0.25">
      <c r="C368" s="2"/>
      <c r="D368" s="1"/>
    </row>
    <row r="369" spans="3:4" x14ac:dyDescent="0.25">
      <c r="C369" s="2"/>
      <c r="D369" s="1"/>
    </row>
    <row r="370" spans="3:4" x14ac:dyDescent="0.25">
      <c r="C370" s="2"/>
      <c r="D370" s="1"/>
    </row>
    <row r="371" spans="3:4" x14ac:dyDescent="0.25">
      <c r="C371" s="2"/>
      <c r="D371" s="1"/>
    </row>
    <row r="372" spans="3:4" x14ac:dyDescent="0.25">
      <c r="C372" s="2"/>
      <c r="D372" s="1"/>
    </row>
    <row r="373" spans="3:4" x14ac:dyDescent="0.25">
      <c r="C373" s="2"/>
      <c r="D373" s="1"/>
    </row>
    <row r="374" spans="3:4" x14ac:dyDescent="0.25">
      <c r="C374" s="2"/>
      <c r="D374" s="1"/>
    </row>
    <row r="375" spans="3:4" x14ac:dyDescent="0.25">
      <c r="C375" s="2"/>
      <c r="D375" s="1"/>
    </row>
    <row r="376" spans="3:4" x14ac:dyDescent="0.25">
      <c r="C376" s="2"/>
      <c r="D376" s="1"/>
    </row>
    <row r="377" spans="3:4" x14ac:dyDescent="0.25">
      <c r="C377" s="2"/>
      <c r="D377" s="1"/>
    </row>
    <row r="378" spans="3:4" x14ac:dyDescent="0.25">
      <c r="C378" s="2"/>
      <c r="D378" s="1"/>
    </row>
    <row r="379" spans="3:4" x14ac:dyDescent="0.25">
      <c r="C379" s="2"/>
      <c r="D379" s="1"/>
    </row>
    <row r="380" spans="3:4" x14ac:dyDescent="0.25">
      <c r="C380" s="2"/>
      <c r="D380" s="1"/>
    </row>
    <row r="381" spans="3:4" x14ac:dyDescent="0.25">
      <c r="C381" s="2"/>
      <c r="D381" s="1"/>
    </row>
    <row r="382" spans="3:4" x14ac:dyDescent="0.25">
      <c r="C382" s="2"/>
      <c r="D382" s="1"/>
    </row>
    <row r="383" spans="3:4" x14ac:dyDescent="0.25">
      <c r="C383" s="2"/>
      <c r="D383" s="1"/>
    </row>
    <row r="384" spans="3:4" x14ac:dyDescent="0.25">
      <c r="C384" s="2"/>
      <c r="D384" s="1"/>
    </row>
    <row r="385" spans="3:4" x14ac:dyDescent="0.25">
      <c r="C385" s="2"/>
      <c r="D385" s="1"/>
    </row>
    <row r="386" spans="3:4" x14ac:dyDescent="0.25">
      <c r="C386" s="2"/>
      <c r="D386" s="1"/>
    </row>
    <row r="387" spans="3:4" x14ac:dyDescent="0.25">
      <c r="C387" s="2"/>
      <c r="D387" s="1"/>
    </row>
    <row r="388" spans="3:4" x14ac:dyDescent="0.25">
      <c r="C388" s="2"/>
      <c r="D388" s="1"/>
    </row>
    <row r="389" spans="3:4" x14ac:dyDescent="0.25">
      <c r="C389" s="2"/>
      <c r="D389" s="1"/>
    </row>
    <row r="390" spans="3:4" x14ac:dyDescent="0.25">
      <c r="C390" s="2"/>
      <c r="D390" s="1"/>
    </row>
    <row r="391" spans="3:4" x14ac:dyDescent="0.25">
      <c r="C391" s="2"/>
      <c r="D391" s="1"/>
    </row>
    <row r="392" spans="3:4" x14ac:dyDescent="0.25">
      <c r="C392" s="2"/>
      <c r="D392" s="1"/>
    </row>
    <row r="393" spans="3:4" x14ac:dyDescent="0.25">
      <c r="C393" s="2"/>
      <c r="D393" s="1"/>
    </row>
    <row r="394" spans="3:4" x14ac:dyDescent="0.25">
      <c r="C394" s="2"/>
      <c r="D394" s="1"/>
    </row>
    <row r="395" spans="3:4" x14ac:dyDescent="0.25">
      <c r="C395" s="2"/>
      <c r="D395" s="1"/>
    </row>
    <row r="396" spans="3:4" x14ac:dyDescent="0.25">
      <c r="C396" s="2"/>
      <c r="D396" s="1"/>
    </row>
    <row r="397" spans="3:4" x14ac:dyDescent="0.25">
      <c r="C397" s="2"/>
      <c r="D397" s="1"/>
    </row>
    <row r="398" spans="3:4" x14ac:dyDescent="0.25">
      <c r="C398" s="2"/>
      <c r="D398" s="1"/>
    </row>
    <row r="399" spans="3:4" x14ac:dyDescent="0.25">
      <c r="C399" s="2"/>
      <c r="D399" s="1"/>
    </row>
    <row r="400" spans="3:4" x14ac:dyDescent="0.25">
      <c r="C400" s="2"/>
      <c r="D400" s="1"/>
    </row>
    <row r="401" spans="3:4" x14ac:dyDescent="0.25">
      <c r="C401" s="2"/>
      <c r="D401" s="1"/>
    </row>
    <row r="402" spans="3:4" x14ac:dyDescent="0.25">
      <c r="C402" s="2"/>
      <c r="D402" s="1"/>
    </row>
    <row r="403" spans="3:4" x14ac:dyDescent="0.25">
      <c r="C403" s="2"/>
      <c r="D403" s="1"/>
    </row>
    <row r="404" spans="3:4" x14ac:dyDescent="0.25">
      <c r="C404" s="2"/>
      <c r="D404" s="1"/>
    </row>
    <row r="405" spans="3:4" x14ac:dyDescent="0.25">
      <c r="C405" s="2"/>
      <c r="D405" s="1"/>
    </row>
    <row r="406" spans="3:4" x14ac:dyDescent="0.25">
      <c r="C406" s="2"/>
      <c r="D406" s="1"/>
    </row>
    <row r="407" spans="3:4" x14ac:dyDescent="0.25">
      <c r="C407" s="2"/>
      <c r="D407" s="1"/>
    </row>
    <row r="408" spans="3:4" x14ac:dyDescent="0.25">
      <c r="C408" s="2"/>
      <c r="D408" s="1"/>
    </row>
    <row r="409" spans="3:4" x14ac:dyDescent="0.25">
      <c r="C409" s="2"/>
      <c r="D409" s="1"/>
    </row>
    <row r="410" spans="3:4" x14ac:dyDescent="0.25">
      <c r="C410" s="2"/>
      <c r="D410" s="1"/>
    </row>
    <row r="411" spans="3:4" x14ac:dyDescent="0.25">
      <c r="C411" s="2"/>
      <c r="D411" s="1"/>
    </row>
    <row r="412" spans="3:4" x14ac:dyDescent="0.25">
      <c r="C412" s="2"/>
      <c r="D412" s="1"/>
    </row>
    <row r="413" spans="3:4" x14ac:dyDescent="0.25">
      <c r="C413" s="2"/>
      <c r="D413" s="1"/>
    </row>
    <row r="414" spans="3:4" x14ac:dyDescent="0.25">
      <c r="C414" s="2"/>
      <c r="D414" s="1"/>
    </row>
    <row r="415" spans="3:4" x14ac:dyDescent="0.25">
      <c r="C415" s="2"/>
      <c r="D415" s="1"/>
    </row>
    <row r="416" spans="3:4" x14ac:dyDescent="0.25">
      <c r="C416" s="2"/>
      <c r="D416" s="1"/>
    </row>
    <row r="417" spans="3:4" x14ac:dyDescent="0.25">
      <c r="C417" s="2"/>
      <c r="D417" s="1"/>
    </row>
    <row r="418" spans="3:4" x14ac:dyDescent="0.25">
      <c r="C418" s="2"/>
      <c r="D418" s="1"/>
    </row>
    <row r="419" spans="3:4" x14ac:dyDescent="0.25">
      <c r="C419" s="2"/>
      <c r="D419" s="1"/>
    </row>
    <row r="420" spans="3:4" x14ac:dyDescent="0.25">
      <c r="C420" s="2"/>
      <c r="D420" s="1"/>
    </row>
    <row r="421" spans="3:4" x14ac:dyDescent="0.25">
      <c r="C421" s="2"/>
      <c r="D421" s="1"/>
    </row>
    <row r="422" spans="3:4" x14ac:dyDescent="0.25">
      <c r="C422" s="2"/>
      <c r="D422" s="1"/>
    </row>
    <row r="423" spans="3:4" x14ac:dyDescent="0.25">
      <c r="C423" s="2"/>
      <c r="D423" s="1"/>
    </row>
    <row r="424" spans="3:4" x14ac:dyDescent="0.25">
      <c r="C424" s="2"/>
      <c r="D424" s="1"/>
    </row>
    <row r="425" spans="3:4" x14ac:dyDescent="0.25">
      <c r="C425" s="2"/>
      <c r="D425" s="1"/>
    </row>
    <row r="426" spans="3:4" x14ac:dyDescent="0.25">
      <c r="C426" s="2"/>
      <c r="D426" s="1"/>
    </row>
    <row r="427" spans="3:4" x14ac:dyDescent="0.25">
      <c r="C427" s="2"/>
      <c r="D427" s="1"/>
    </row>
    <row r="428" spans="3:4" x14ac:dyDescent="0.25">
      <c r="C428" s="2"/>
      <c r="D428" s="1"/>
    </row>
    <row r="429" spans="3:4" x14ac:dyDescent="0.25">
      <c r="C429" s="2"/>
      <c r="D429" s="1"/>
    </row>
    <row r="430" spans="3:4" x14ac:dyDescent="0.25">
      <c r="C430" s="2"/>
      <c r="D430" s="1"/>
    </row>
    <row r="431" spans="3:4" x14ac:dyDescent="0.25">
      <c r="C431" s="2"/>
      <c r="D431" s="1"/>
    </row>
    <row r="432" spans="3:4" x14ac:dyDescent="0.25">
      <c r="C432" s="2"/>
      <c r="D432" s="1"/>
    </row>
    <row r="433" spans="3:4" x14ac:dyDescent="0.25">
      <c r="C433" s="2"/>
      <c r="D433" s="1"/>
    </row>
    <row r="434" spans="3:4" x14ac:dyDescent="0.25">
      <c r="C434" s="2"/>
      <c r="D434" s="1"/>
    </row>
    <row r="435" spans="3:4" x14ac:dyDescent="0.25">
      <c r="C435" s="2"/>
      <c r="D435" s="1"/>
    </row>
    <row r="436" spans="3:4" x14ac:dyDescent="0.25">
      <c r="C436" s="2"/>
      <c r="D436" s="1"/>
    </row>
    <row r="437" spans="3:4" x14ac:dyDescent="0.25">
      <c r="C437" s="2"/>
      <c r="D437" s="1"/>
    </row>
    <row r="438" spans="3:4" x14ac:dyDescent="0.25">
      <c r="C438" s="2"/>
      <c r="D438" s="1"/>
    </row>
    <row r="439" spans="3:4" x14ac:dyDescent="0.25">
      <c r="C439" s="2"/>
      <c r="D439" s="1"/>
    </row>
    <row r="440" spans="3:4" x14ac:dyDescent="0.25">
      <c r="C440" s="2"/>
      <c r="D440" s="1"/>
    </row>
    <row r="441" spans="3:4" x14ac:dyDescent="0.25">
      <c r="C441" s="2"/>
      <c r="D441" s="1"/>
    </row>
    <row r="442" spans="3:4" x14ac:dyDescent="0.25">
      <c r="C442" s="2"/>
      <c r="D442" s="1"/>
    </row>
    <row r="443" spans="3:4" x14ac:dyDescent="0.25">
      <c r="C443" s="2"/>
      <c r="D443" s="1"/>
    </row>
    <row r="444" spans="3:4" x14ac:dyDescent="0.25">
      <c r="C444" s="2"/>
      <c r="D444" s="1"/>
    </row>
    <row r="445" spans="3:4" x14ac:dyDescent="0.25">
      <c r="C445" s="2"/>
      <c r="D445" s="1"/>
    </row>
    <row r="446" spans="3:4" x14ac:dyDescent="0.25">
      <c r="C446" s="2"/>
      <c r="D446" s="1"/>
    </row>
    <row r="447" spans="3:4" x14ac:dyDescent="0.25">
      <c r="C447" s="2"/>
      <c r="D447" s="1"/>
    </row>
    <row r="448" spans="3:4" x14ac:dyDescent="0.25">
      <c r="C448" s="2"/>
      <c r="D448" s="1"/>
    </row>
    <row r="449" spans="3:4" x14ac:dyDescent="0.25">
      <c r="C449" s="2"/>
      <c r="D449" s="1"/>
    </row>
    <row r="450" spans="3:4" x14ac:dyDescent="0.25">
      <c r="C450" s="2"/>
      <c r="D450" s="1"/>
    </row>
    <row r="451" spans="3:4" x14ac:dyDescent="0.25">
      <c r="C451" s="2"/>
      <c r="D451" s="1"/>
    </row>
    <row r="452" spans="3:4" x14ac:dyDescent="0.25">
      <c r="C452" s="2"/>
      <c r="D452" s="1"/>
    </row>
    <row r="453" spans="3:4" x14ac:dyDescent="0.25">
      <c r="C453" s="2"/>
      <c r="D453" s="1"/>
    </row>
    <row r="454" spans="3:4" x14ac:dyDescent="0.25">
      <c r="C454" s="2"/>
      <c r="D454" s="1"/>
    </row>
    <row r="455" spans="3:4" x14ac:dyDescent="0.25">
      <c r="C455" s="2"/>
      <c r="D455" s="1"/>
    </row>
    <row r="456" spans="3:4" x14ac:dyDescent="0.25">
      <c r="C456" s="2"/>
      <c r="D456" s="1"/>
    </row>
    <row r="457" spans="3:4" x14ac:dyDescent="0.25">
      <c r="C457" s="2"/>
      <c r="D457" s="1"/>
    </row>
    <row r="458" spans="3:4" x14ac:dyDescent="0.25">
      <c r="C458" s="2"/>
      <c r="D458" s="1"/>
    </row>
    <row r="459" spans="3:4" x14ac:dyDescent="0.25">
      <c r="C459" s="2"/>
      <c r="D459" s="1"/>
    </row>
    <row r="460" spans="3:4" x14ac:dyDescent="0.25">
      <c r="C460" s="2"/>
      <c r="D460" s="1"/>
    </row>
    <row r="461" spans="3:4" x14ac:dyDescent="0.25">
      <c r="C461" s="2"/>
      <c r="D461" s="1"/>
    </row>
    <row r="462" spans="3:4" x14ac:dyDescent="0.25">
      <c r="C462" s="2"/>
      <c r="D462" s="1"/>
    </row>
    <row r="463" spans="3:4" x14ac:dyDescent="0.25">
      <c r="C463" s="2"/>
      <c r="D463" s="1"/>
    </row>
    <row r="464" spans="3:4" x14ac:dyDescent="0.25">
      <c r="C464" s="2"/>
      <c r="D464" s="1"/>
    </row>
    <row r="465" spans="3:4" x14ac:dyDescent="0.25">
      <c r="C465" s="2"/>
      <c r="D465" s="1"/>
    </row>
    <row r="466" spans="3:4" x14ac:dyDescent="0.25">
      <c r="C466" s="2"/>
      <c r="D466" s="1"/>
    </row>
    <row r="467" spans="3:4" x14ac:dyDescent="0.25">
      <c r="C467" s="2"/>
      <c r="D467" s="1"/>
    </row>
    <row r="468" spans="3:4" x14ac:dyDescent="0.25">
      <c r="C468" s="2"/>
      <c r="D468" s="1"/>
    </row>
    <row r="469" spans="3:4" x14ac:dyDescent="0.25">
      <c r="C469" s="2"/>
      <c r="D469" s="1"/>
    </row>
    <row r="470" spans="3:4" x14ac:dyDescent="0.25">
      <c r="C470" s="2"/>
      <c r="D470" s="1"/>
    </row>
    <row r="471" spans="3:4" x14ac:dyDescent="0.25">
      <c r="C471" s="2"/>
      <c r="D471" s="1"/>
    </row>
  </sheetData>
  <mergeCells count="1">
    <mergeCell ref="B53:C53"/>
  </mergeCells>
  <hyperlinks>
    <hyperlink ref="F2" r:id="rId1"/>
    <hyperlink ref="F3" r:id="rId2"/>
    <hyperlink ref="F5" r:id="rId3"/>
    <hyperlink ref="F41" r:id="rId4"/>
    <hyperlink ref="F24" r:id="rId5"/>
    <hyperlink ref="F23" display="https://www.google.com/maps/place/PT+Capglobal+Industry+International/@-7.5845426,111.8886384,14z/data=!4m10!1m2!2m1!1sPT.+Capglobal+Industry+International++nganjuk!3m6!1s0x2e784b7702be42bd:0xc9f396adf442097b!8m2!3d-7.5845426!4d111.9246873!15sCi1QVC4gQ2Fw"/>
    <hyperlink ref="F22" r:id="rId6"/>
    <hyperlink ref="F21" r:id="rId7"/>
    <hyperlink ref="F20" r:id="rId8"/>
    <hyperlink ref="F19" r:id="rId9"/>
    <hyperlink ref="F18" r:id="rId10"/>
    <hyperlink ref="F17" r:id="rId11"/>
    <hyperlink ref="F16" r:id="rId12"/>
    <hyperlink ref="F15" r:id="rId13"/>
    <hyperlink ref="F51" r:id="rId14"/>
    <hyperlink ref="F50" display="https://www.google.com/maps/place/PT.+RIMBA+DAMAI+SEJAHTERA/@-7.6201174,74.9406533,4z/data=!4m10!1m2!2m1!1sRimba+Damai+Sejahtera!3m6!1s0x2e79b5c55d6d8887:0xb306b9b724ef8a1e!8m2!3d-7.6201174!4d111.8547158!15sChVSaW1iYSBEYW1haSBTZWphaHRlcmGSAQxtYW51ZmFjdHVy"/>
    <hyperlink ref="F49" r:id="rId15"/>
    <hyperlink ref="F48" display="https://www.google.com/maps/place/Tsamaniya+Minimarket+Kertosono/@-7.6026428,111.918732,12z/data=!4m10!1m2!2m1!1sPT.+Tsamaniya+Amanah+Mandiri+nganjuk!3m6!1s0x2e78465f016c9e43:0x33877c6c6bc1e29e!8m2!3d-7.6007809!4d112.1015793!15sCiRQVC4gVHNhbWFuaXlhIEFtYW5"/>
    <hyperlink ref="F44" r:id="rId16"/>
    <hyperlink ref="F43" r:id="rId17"/>
    <hyperlink ref="F42" r:id="rId18"/>
    <hyperlink ref="F40" r:id="rId19"/>
    <hyperlink ref="F39" r:id="rId20"/>
    <hyperlink ref="F38" display="https://www.google.com/maps/place/PT+Berlian+Jaya+Perkasa+Nganjuk/@-7.2928843,110.5065502,9z/data=!4m10!1m2!2m1!1sPT.+Berlian+Jaya+Perkasa!3m6!1s0x2e784bba87f68e61:0x4ead31d4744716a7!8m2!3d-7.5850196!4d111.8798689!15sChhQVC4gQmVybGlhbiBKYXlhIFBlcmthc2GSAR"/>
    <hyperlink ref="F37" r:id="rId21"/>
    <hyperlink ref="F36" r:id="rId22"/>
    <hyperlink ref="F35" display="https://www.google.com/maps/place/KSPPS+Tunas+Artha+Mandiri/@-7.6110728,111.883614,14z/data=!4m10!1m2!2m1!1sKSP+Tunas+Artha+Mandiri++nganjuk!3m6!1s0x2e784b0a6a6ca791:0x6af4eaf8f3d6063c!8m2!3d-7.6113661!4d111.9033368!15sCiBLU1AgVHVuYXMgQXJ0aGEgTWFuZGlyaSAg"/>
    <hyperlink ref="F34" r:id="rId23"/>
    <hyperlink ref="F33" r:id="rId24"/>
    <hyperlink ref="F32" r:id="rId25"/>
    <hyperlink ref="F31" r:id="rId26"/>
    <hyperlink ref="F30" r:id="rId27"/>
    <hyperlink ref="F29" r:id="rId28"/>
    <hyperlink ref="F28" r:id="rId29"/>
    <hyperlink ref="F27" r:id="rId30"/>
    <hyperlink ref="F26" r:id="rId31"/>
    <hyperlink ref="F25" r:id="rId32"/>
    <hyperlink ref="F14" r:id="rId33"/>
    <hyperlink ref="F13" display="https://www.google.com/maps/place/Bank+Rakyat+Indonesia+(Persero).+PT/@-7.5990179,111.7548316,12z/data=!4m10!1m2!2m1!1sPT.+BRI+(Persero),+Tbk+nganjuk!3m6!1s0x2e784afd6b7cd4ef:0xfb9d429afd85ddf2!8m2!3d-7.5990179!4d111.8990272!15sCh5QVC4gQlJJIChQZXJzZXJvKSw"/>
    <hyperlink ref="F12" r:id="rId34"/>
    <hyperlink ref="F11" display="https://www.google.com/maps/place/PR.+MANGGA+GANDENG/@-7.608272,111.7558827,12z/data=!4m10!1m2!2m1!1sPR.+Mangga+Gandeng!3m6!1s0x2e784b09202df869:0xb951000b99adbe38!8m2!3d-7.608272!4d111.9000783!15sChJQUi4gTWFuZ2dhIEdhbmRlbmeSARBjb3Jwb3JhdGVfb2ZmaWNl4AEA!1"/>
    <hyperlink ref="F10" display="https://www.google.com/maps/place/Pt.+Cipta+karya+manshurin/@-7.6318251,112.0131356,17z/data=!4m10!1m2!2m1!1sPT.+Cipta+Karya+Mansurin!3m6!1s0x2e784f4bdcfb5881:0xe0630e7cfec6e87f!8m2!3d-7.6318251!4d112.0176417!15sChlQVC4gQ2lwdGEgS2FyeWEgTWFuc2h1cmlukgEQY29"/>
    <hyperlink ref="F9" r:id="rId35"/>
    <hyperlink ref="F8" r:id="rId36"/>
    <hyperlink ref="F7" r:id="rId37"/>
    <hyperlink ref="F6" r:id="rId38"/>
    <hyperlink ref="F4" r:id="rId39"/>
  </hyperlinks>
  <pageMargins left="0.70866141732283472" right="0.70866141732283472" top="0.74803149606299213" bottom="0.74803149606299213" header="0.31496062992125984" footer="0.31496062992125984"/>
  <pageSetup paperSize="126" scale="105" orientation="portrait" r:id="rId4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Perusahaan</vt:lpstr>
      <vt:lpstr>Perusahaan!Print_Titles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oke</dc:creator>
  <cp:lastModifiedBy>Windows User</cp:lastModifiedBy>
  <cp:lastPrinted>2023-10-24T03:22:43Z</cp:lastPrinted>
  <dcterms:created xsi:type="dcterms:W3CDTF">2023-01-09T04:38:32Z</dcterms:created>
  <dcterms:modified xsi:type="dcterms:W3CDTF">2024-09-13T02:19:03Z</dcterms:modified>
</cp:coreProperties>
</file>